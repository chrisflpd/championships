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rist\Randoms\Κατασκηνωση\2026\"/>
    </mc:Choice>
  </mc:AlternateContent>
  <xr:revisionPtr revIDLastSave="0" documentId="13_ncr:1_{1C03C7B2-3BC9-4B06-B4AF-353C3B742B0C}" xr6:coauthVersionLast="47" xr6:coauthVersionMax="47" xr10:uidLastSave="{00000000-0000-0000-0000-000000000000}"/>
  <bookViews>
    <workbookView xWindow="-108" yWindow="-108" windowWidth="23256" windowHeight="12456" tabRatio="469" activeTab="5" xr2:uid="{00000000-000D-0000-FFFF-FFFF00000000}"/>
  </bookViews>
  <sheets>
    <sheet name="plan" sheetId="2" r:id="rId1"/>
    <sheet name="teams" sheetId="1" r:id="rId2"/>
    <sheet name="fields" sheetId="3" r:id="rId3"/>
    <sheet name="games" sheetId="4" r:id="rId4"/>
    <sheet name="pages" sheetId="6" r:id="rId5"/>
    <sheet name="points" sheetId="5" r:id="rId6"/>
  </sheets>
  <definedNames>
    <definedName name="_xlnm.Print_Area" localSheetId="4">pages!$C$2:$K$266</definedName>
    <definedName name="_xlnm.Print_Area" localSheetId="0">plan!$A$1:$AC$18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" i="5" l="1"/>
  <c r="AK14" i="5"/>
  <c r="AK13" i="5"/>
  <c r="AK12" i="5"/>
  <c r="AK11" i="5"/>
  <c r="AK10" i="5"/>
  <c r="AK8" i="5"/>
  <c r="AK7" i="5"/>
  <c r="AK6" i="5"/>
  <c r="AK5" i="5"/>
  <c r="C3" i="6"/>
  <c r="W14" i="2"/>
  <c r="P14" i="2"/>
  <c r="I14" i="2"/>
  <c r="B14" i="2"/>
  <c r="W8" i="2"/>
  <c r="P8" i="2"/>
  <c r="I8" i="2"/>
  <c r="B8" i="2"/>
  <c r="W2" i="2"/>
  <c r="P2" i="2"/>
  <c r="I2" i="2"/>
  <c r="C5" i="5"/>
  <c r="C12" i="5"/>
  <c r="C11" i="5"/>
  <c r="L5" i="6" l="1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65" i="6" l="1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F2" i="4" l="1" a="1"/>
  <c r="F2" i="4" s="1"/>
  <c r="F3" i="4" a="1"/>
  <c r="F3" i="4" s="1"/>
  <c r="F4" i="4" a="1"/>
  <c r="F4" i="4" s="1"/>
  <c r="F5" i="4" a="1"/>
  <c r="F5" i="4" s="1"/>
  <c r="F6" i="4" a="1"/>
  <c r="F6" i="4" s="1"/>
  <c r="C14" i="5"/>
  <c r="C13" i="5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A27" i="6"/>
  <c r="A49" i="6" s="1"/>
  <c r="A71" i="6" s="1"/>
  <c r="A93" i="6" s="1"/>
  <c r="A115" i="6" s="1"/>
  <c r="A137" i="6" s="1"/>
  <c r="A159" i="6" s="1"/>
  <c r="A181" i="6" s="1"/>
  <c r="A203" i="6" s="1"/>
  <c r="A225" i="6" s="1"/>
  <c r="A247" i="6" s="1"/>
  <c r="A28" i="6"/>
  <c r="A50" i="6" s="1"/>
  <c r="A72" i="6" s="1"/>
  <c r="A94" i="6" s="1"/>
  <c r="A116" i="6" s="1"/>
  <c r="A138" i="6" s="1"/>
  <c r="A160" i="6" s="1"/>
  <c r="A182" i="6" s="1"/>
  <c r="A204" i="6" s="1"/>
  <c r="A226" i="6" s="1"/>
  <c r="A248" i="6" s="1"/>
  <c r="A29" i="6"/>
  <c r="A51" i="6" s="1"/>
  <c r="A73" i="6" s="1"/>
  <c r="A95" i="6" s="1"/>
  <c r="A117" i="6" s="1"/>
  <c r="A139" i="6" s="1"/>
  <c r="A161" i="6" s="1"/>
  <c r="A183" i="6" s="1"/>
  <c r="A205" i="6" s="1"/>
  <c r="A227" i="6" s="1"/>
  <c r="A249" i="6" s="1"/>
  <c r="A30" i="6"/>
  <c r="A52" i="6" s="1"/>
  <c r="A74" i="6" s="1"/>
  <c r="A96" i="6" s="1"/>
  <c r="A118" i="6" s="1"/>
  <c r="A140" i="6" s="1"/>
  <c r="A162" i="6" s="1"/>
  <c r="A184" i="6" s="1"/>
  <c r="A206" i="6" s="1"/>
  <c r="A228" i="6" s="1"/>
  <c r="A250" i="6" s="1"/>
  <c r="A31" i="6"/>
  <c r="A53" i="6" s="1"/>
  <c r="A75" i="6" s="1"/>
  <c r="A97" i="6" s="1"/>
  <c r="A119" i="6" s="1"/>
  <c r="A141" i="6" s="1"/>
  <c r="A163" i="6" s="1"/>
  <c r="A185" i="6" s="1"/>
  <c r="A207" i="6" s="1"/>
  <c r="A229" i="6" s="1"/>
  <c r="A251" i="6" s="1"/>
  <c r="A32" i="6"/>
  <c r="A54" i="6" s="1"/>
  <c r="A76" i="6" s="1"/>
  <c r="A98" i="6" s="1"/>
  <c r="A120" i="6" s="1"/>
  <c r="A142" i="6" s="1"/>
  <c r="A164" i="6" s="1"/>
  <c r="A186" i="6" s="1"/>
  <c r="A208" i="6" s="1"/>
  <c r="A230" i="6" s="1"/>
  <c r="A252" i="6" s="1"/>
  <c r="A33" i="6"/>
  <c r="A55" i="6" s="1"/>
  <c r="A77" i="6" s="1"/>
  <c r="A99" i="6" s="1"/>
  <c r="A121" i="6" s="1"/>
  <c r="A143" i="6" s="1"/>
  <c r="A165" i="6" s="1"/>
  <c r="A187" i="6" s="1"/>
  <c r="A209" i="6" s="1"/>
  <c r="A231" i="6" s="1"/>
  <c r="A253" i="6" s="1"/>
  <c r="A34" i="6"/>
  <c r="A56" i="6" s="1"/>
  <c r="A78" i="6" s="1"/>
  <c r="A100" i="6" s="1"/>
  <c r="A122" i="6" s="1"/>
  <c r="A144" i="6" s="1"/>
  <c r="A166" i="6" s="1"/>
  <c r="A188" i="6" s="1"/>
  <c r="A210" i="6" s="1"/>
  <c r="A232" i="6" s="1"/>
  <c r="A254" i="6" s="1"/>
  <c r="A35" i="6"/>
  <c r="A57" i="6" s="1"/>
  <c r="A79" i="6" s="1"/>
  <c r="A101" i="6" s="1"/>
  <c r="A123" i="6" s="1"/>
  <c r="A145" i="6" s="1"/>
  <c r="A167" i="6" s="1"/>
  <c r="A189" i="6" s="1"/>
  <c r="A211" i="6" s="1"/>
  <c r="A233" i="6" s="1"/>
  <c r="A255" i="6" s="1"/>
  <c r="A36" i="6"/>
  <c r="A58" i="6" s="1"/>
  <c r="A80" i="6" s="1"/>
  <c r="A102" i="6" s="1"/>
  <c r="A124" i="6" s="1"/>
  <c r="A146" i="6" s="1"/>
  <c r="A168" i="6" s="1"/>
  <c r="A190" i="6" s="1"/>
  <c r="A212" i="6" s="1"/>
  <c r="A234" i="6" s="1"/>
  <c r="A256" i="6" s="1"/>
  <c r="A37" i="6"/>
  <c r="A59" i="6" s="1"/>
  <c r="A81" i="6" s="1"/>
  <c r="A103" i="6" s="1"/>
  <c r="A125" i="6" s="1"/>
  <c r="A147" i="6" s="1"/>
  <c r="A169" i="6" s="1"/>
  <c r="A191" i="6" s="1"/>
  <c r="A213" i="6" s="1"/>
  <c r="A235" i="6" s="1"/>
  <c r="A257" i="6" s="1"/>
  <c r="A38" i="6"/>
  <c r="A60" i="6" s="1"/>
  <c r="A82" i="6" s="1"/>
  <c r="A104" i="6" s="1"/>
  <c r="A126" i="6" s="1"/>
  <c r="A148" i="6" s="1"/>
  <c r="A170" i="6" s="1"/>
  <c r="A192" i="6" s="1"/>
  <c r="A214" i="6" s="1"/>
  <c r="A236" i="6" s="1"/>
  <c r="A258" i="6" s="1"/>
  <c r="A39" i="6"/>
  <c r="A61" i="6" s="1"/>
  <c r="A83" i="6" s="1"/>
  <c r="A105" i="6" s="1"/>
  <c r="A127" i="6" s="1"/>
  <c r="A149" i="6" s="1"/>
  <c r="A171" i="6" s="1"/>
  <c r="A193" i="6" s="1"/>
  <c r="A215" i="6" s="1"/>
  <c r="A237" i="6" s="1"/>
  <c r="A259" i="6" s="1"/>
  <c r="A40" i="6"/>
  <c r="A62" i="6" s="1"/>
  <c r="A84" i="6" s="1"/>
  <c r="A106" i="6" s="1"/>
  <c r="A128" i="6" s="1"/>
  <c r="A150" i="6" s="1"/>
  <c r="A172" i="6" s="1"/>
  <c r="A194" i="6" s="1"/>
  <c r="A216" i="6" s="1"/>
  <c r="A238" i="6" s="1"/>
  <c r="A260" i="6" s="1"/>
  <c r="A41" i="6"/>
  <c r="A63" i="6" s="1"/>
  <c r="A85" i="6" s="1"/>
  <c r="A107" i="6" s="1"/>
  <c r="A129" i="6" s="1"/>
  <c r="A151" i="6" s="1"/>
  <c r="A173" i="6" s="1"/>
  <c r="A195" i="6" s="1"/>
  <c r="A217" i="6" s="1"/>
  <c r="A239" i="6" s="1"/>
  <c r="A261" i="6" s="1"/>
  <c r="A42" i="6"/>
  <c r="A64" i="6" s="1"/>
  <c r="A86" i="6" s="1"/>
  <c r="A108" i="6" s="1"/>
  <c r="A130" i="6" s="1"/>
  <c r="A152" i="6" s="1"/>
  <c r="A174" i="6" s="1"/>
  <c r="A196" i="6" s="1"/>
  <c r="A218" i="6" s="1"/>
  <c r="A240" i="6" s="1"/>
  <c r="A262" i="6" s="1"/>
  <c r="A43" i="6"/>
  <c r="A65" i="6" s="1"/>
  <c r="A87" i="6" s="1"/>
  <c r="A109" i="6" s="1"/>
  <c r="A131" i="6" s="1"/>
  <c r="A153" i="6" s="1"/>
  <c r="A175" i="6" s="1"/>
  <c r="A197" i="6" s="1"/>
  <c r="A219" i="6" s="1"/>
  <c r="A241" i="6" s="1"/>
  <c r="A263" i="6" s="1"/>
  <c r="A44" i="6"/>
  <c r="A66" i="6" s="1"/>
  <c r="A88" i="6" s="1"/>
  <c r="A110" i="6" s="1"/>
  <c r="A132" i="6" s="1"/>
  <c r="A154" i="6" s="1"/>
  <c r="A176" i="6" s="1"/>
  <c r="A198" i="6" s="1"/>
  <c r="A220" i="6" s="1"/>
  <c r="A242" i="6" s="1"/>
  <c r="A264" i="6" s="1"/>
  <c r="A45" i="6"/>
  <c r="A67" i="6" s="1"/>
  <c r="A89" i="6" s="1"/>
  <c r="A111" i="6" s="1"/>
  <c r="A133" i="6" s="1"/>
  <c r="A155" i="6" s="1"/>
  <c r="A177" i="6" s="1"/>
  <c r="A199" i="6" s="1"/>
  <c r="A221" i="6" s="1"/>
  <c r="A243" i="6" s="1"/>
  <c r="A265" i="6" s="1"/>
  <c r="A26" i="6"/>
  <c r="A48" i="6" s="1"/>
  <c r="A70" i="6" s="1"/>
  <c r="A92" i="6" s="1"/>
  <c r="A114" i="6" s="1"/>
  <c r="A136" i="6" s="1"/>
  <c r="A158" i="6" s="1"/>
  <c r="A180" i="6" s="1"/>
  <c r="A202" i="6" s="1"/>
  <c r="A224" i="6" s="1"/>
  <c r="A246" i="6" s="1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C25" i="6"/>
  <c r="C47" i="6" s="1"/>
  <c r="C69" i="6" s="1"/>
  <c r="C91" i="6" s="1"/>
  <c r="C113" i="6" s="1"/>
  <c r="C135" i="6" s="1"/>
  <c r="C157" i="6" s="1"/>
  <c r="C179" i="6" s="1"/>
  <c r="C201" i="6" s="1"/>
  <c r="C223" i="6" s="1"/>
  <c r="C245" i="6" s="1"/>
  <c r="C2" i="4"/>
  <c r="D2" i="4" s="1"/>
  <c r="C3" i="4"/>
  <c r="C4" i="4"/>
  <c r="D4" i="4" s="1"/>
  <c r="C5" i="4"/>
  <c r="D5" i="4" s="1"/>
  <c r="C6" i="4"/>
  <c r="D6" i="4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D3" i="4"/>
  <c r="H6" i="4" l="1"/>
  <c r="I6" i="4"/>
  <c r="H2" i="4"/>
  <c r="I2" i="4"/>
  <c r="H5" i="4"/>
  <c r="I5" i="4"/>
  <c r="H3" i="4"/>
  <c r="I3" i="4"/>
  <c r="H4" i="4"/>
  <c r="I4" i="4"/>
  <c r="E3" i="4"/>
  <c r="L3" i="4" s="1"/>
  <c r="E2" i="4"/>
  <c r="L2" i="4" s="1"/>
  <c r="E5" i="4"/>
  <c r="L5" i="4" s="1"/>
  <c r="E6" i="4"/>
  <c r="L6" i="4" s="1"/>
  <c r="E4" i="4"/>
  <c r="L4" i="4" s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G3" i="4"/>
  <c r="G4" i="4"/>
  <c r="G5" i="4"/>
  <c r="G6" i="4"/>
  <c r="A8" i="4"/>
  <c r="A9" i="4"/>
  <c r="A10" i="4"/>
  <c r="A11" i="4"/>
  <c r="A7" i="4"/>
  <c r="F11" i="4" l="1" a="1"/>
  <c r="F11" i="4" s="1"/>
  <c r="G11" i="4" s="1"/>
  <c r="D11" i="4"/>
  <c r="F9" i="4" a="1"/>
  <c r="F9" i="4" s="1"/>
  <c r="G9" i="4" s="1"/>
  <c r="D9" i="4"/>
  <c r="F7" i="4" a="1"/>
  <c r="F7" i="4" s="1"/>
  <c r="G7" i="4" s="1"/>
  <c r="D7" i="4"/>
  <c r="F10" i="4" a="1"/>
  <c r="F10" i="4" s="1"/>
  <c r="G10" i="4" s="1"/>
  <c r="D10" i="4"/>
  <c r="F8" i="4" a="1"/>
  <c r="F8" i="4" s="1"/>
  <c r="G8" i="4" s="1"/>
  <c r="D8" i="4"/>
  <c r="A15" i="4"/>
  <c r="A16" i="4"/>
  <c r="A14" i="4"/>
  <c r="A12" i="4"/>
  <c r="A13" i="4"/>
  <c r="F12" i="4" l="1" a="1"/>
  <c r="F12" i="4" s="1"/>
  <c r="G12" i="4" s="1"/>
  <c r="D12" i="4"/>
  <c r="F16" i="4" a="1"/>
  <c r="F16" i="4" s="1"/>
  <c r="G16" i="4" s="1"/>
  <c r="D16" i="4"/>
  <c r="F13" i="4" a="1"/>
  <c r="F13" i="4" s="1"/>
  <c r="G13" i="4" s="1"/>
  <c r="D13" i="4"/>
  <c r="F14" i="4" a="1"/>
  <c r="F14" i="4" s="1"/>
  <c r="G14" i="4" s="1"/>
  <c r="D14" i="4"/>
  <c r="F15" i="4" a="1"/>
  <c r="F15" i="4" s="1"/>
  <c r="G15" i="4" s="1"/>
  <c r="D15" i="4"/>
  <c r="H8" i="4"/>
  <c r="I8" i="4"/>
  <c r="G10" i="6" s="1" a="1"/>
  <c r="G10" i="6" s="1"/>
  <c r="H10" i="6" s="1"/>
  <c r="E8" i="4"/>
  <c r="L8" i="4" s="1"/>
  <c r="H10" i="4"/>
  <c r="I10" i="4"/>
  <c r="G12" i="6" s="1" a="1"/>
  <c r="G12" i="6" s="1"/>
  <c r="H12" i="6" s="1"/>
  <c r="E10" i="4"/>
  <c r="L10" i="4" s="1"/>
  <c r="H7" i="4"/>
  <c r="I7" i="4"/>
  <c r="E7" i="4"/>
  <c r="L7" i="4" s="1"/>
  <c r="H9" i="4"/>
  <c r="I9" i="4"/>
  <c r="G11" i="6" s="1" a="1"/>
  <c r="G11" i="6" s="1"/>
  <c r="H11" i="6" s="1"/>
  <c r="E9" i="4"/>
  <c r="L9" i="4" s="1"/>
  <c r="H11" i="4"/>
  <c r="E11" i="4"/>
  <c r="L11" i="4" s="1"/>
  <c r="I11" i="4"/>
  <c r="G13" i="6" s="1" a="1"/>
  <c r="G13" i="6" s="1"/>
  <c r="H13" i="6" s="1"/>
  <c r="A17" i="4"/>
  <c r="A21" i="4"/>
  <c r="A18" i="4"/>
  <c r="A19" i="4"/>
  <c r="A20" i="4"/>
  <c r="J15" i="4" l="1"/>
  <c r="K15" i="4"/>
  <c r="J14" i="4"/>
  <c r="K14" i="4"/>
  <c r="K13" i="4"/>
  <c r="J13" i="4"/>
  <c r="J12" i="4"/>
  <c r="K12" i="4"/>
  <c r="H14" i="4"/>
  <c r="I14" i="4"/>
  <c r="G16" i="6" s="1" a="1"/>
  <c r="G16" i="6" s="1"/>
  <c r="H16" i="6" s="1"/>
  <c r="H15" i="4"/>
  <c r="I15" i="4"/>
  <c r="G17" i="6" s="1" a="1"/>
  <c r="G17" i="6" s="1"/>
  <c r="H17" i="6" s="1"/>
  <c r="H13" i="4"/>
  <c r="I13" i="4"/>
  <c r="G15" i="6" s="1" a="1"/>
  <c r="G15" i="6" s="1"/>
  <c r="H15" i="6" s="1"/>
  <c r="H12" i="4"/>
  <c r="E14" i="6" s="1" a="1"/>
  <c r="E14" i="6" s="1"/>
  <c r="F14" i="6" s="1"/>
  <c r="I12" i="4"/>
  <c r="G14" i="6" s="1" a="1"/>
  <c r="G14" i="6" s="1"/>
  <c r="H14" i="6" s="1"/>
  <c r="F19" i="4" a="1"/>
  <c r="F19" i="4" s="1"/>
  <c r="G19" i="4" s="1"/>
  <c r="D19" i="4"/>
  <c r="F21" i="4" a="1"/>
  <c r="F21" i="4" s="1"/>
  <c r="G21" i="4" s="1"/>
  <c r="D21" i="4"/>
  <c r="F20" i="4" a="1"/>
  <c r="F20" i="4" s="1"/>
  <c r="G20" i="4" s="1"/>
  <c r="D20" i="4"/>
  <c r="F18" i="4" a="1"/>
  <c r="F18" i="4" s="1"/>
  <c r="G18" i="4" s="1"/>
  <c r="D18" i="4"/>
  <c r="F17" i="4" a="1"/>
  <c r="F17" i="4" s="1"/>
  <c r="G17" i="4" s="1"/>
  <c r="D17" i="4"/>
  <c r="E15" i="4"/>
  <c r="L15" i="4" s="1"/>
  <c r="E14" i="4"/>
  <c r="L14" i="4" s="1"/>
  <c r="E13" i="4"/>
  <c r="L13" i="4" s="1"/>
  <c r="H16" i="4"/>
  <c r="I16" i="4"/>
  <c r="G18" i="6" s="1" a="1"/>
  <c r="G18" i="6" s="1"/>
  <c r="H18" i="6" s="1"/>
  <c r="E16" i="4"/>
  <c r="L16" i="4" s="1"/>
  <c r="E12" i="4"/>
  <c r="L12" i="4" s="1"/>
  <c r="A24" i="4"/>
  <c r="A26" i="4"/>
  <c r="A25" i="4"/>
  <c r="A23" i="4"/>
  <c r="A22" i="4"/>
  <c r="L4" i="6"/>
  <c r="G2" i="4" s="1"/>
  <c r="D4" i="6"/>
  <c r="K17" i="4" l="1"/>
  <c r="J17" i="4"/>
  <c r="J18" i="4"/>
  <c r="K18" i="4"/>
  <c r="J20" i="4"/>
  <c r="K20" i="4"/>
  <c r="J19" i="4"/>
  <c r="K19" i="4"/>
  <c r="J21" i="4"/>
  <c r="K21" i="4"/>
  <c r="H17" i="4"/>
  <c r="I17" i="4"/>
  <c r="G19" i="6" s="1" a="1"/>
  <c r="G19" i="6" s="1"/>
  <c r="H19" i="6" s="1"/>
  <c r="H20" i="4"/>
  <c r="I20" i="4"/>
  <c r="G22" i="6" s="1" a="1"/>
  <c r="G22" i="6" s="1"/>
  <c r="H22" i="6" s="1"/>
  <c r="H18" i="4"/>
  <c r="I18" i="4"/>
  <c r="G20" i="6" s="1" a="1"/>
  <c r="G20" i="6" s="1"/>
  <c r="H20" i="6" s="1"/>
  <c r="H21" i="4"/>
  <c r="I21" i="4"/>
  <c r="H19" i="4"/>
  <c r="I19" i="4"/>
  <c r="G21" i="6" s="1" a="1"/>
  <c r="G21" i="6" s="1"/>
  <c r="H21" i="6" s="1"/>
  <c r="F23" i="4" a="1"/>
  <c r="F23" i="4" s="1"/>
  <c r="G23" i="4" s="1"/>
  <c r="D23" i="4"/>
  <c r="F26" i="4" a="1"/>
  <c r="F26" i="4" s="1"/>
  <c r="G26" i="4" s="1"/>
  <c r="D26" i="4"/>
  <c r="F22" i="4" a="1"/>
  <c r="F22" i="4" s="1"/>
  <c r="G22" i="4" s="1"/>
  <c r="D22" i="4"/>
  <c r="F25" i="4" a="1"/>
  <c r="F25" i="4" s="1"/>
  <c r="G25" i="4" s="1"/>
  <c r="D25" i="4"/>
  <c r="F24" i="4" a="1"/>
  <c r="F24" i="4" s="1"/>
  <c r="G24" i="4" s="1"/>
  <c r="D24" i="4"/>
  <c r="E17" i="4"/>
  <c r="L17" i="4" s="1"/>
  <c r="E18" i="4"/>
  <c r="L18" i="4" s="1"/>
  <c r="E20" i="4"/>
  <c r="L20" i="4" s="1"/>
  <c r="E21" i="4"/>
  <c r="L21" i="4" s="1"/>
  <c r="E19" i="4"/>
  <c r="L19" i="4" s="1"/>
  <c r="A28" i="4"/>
  <c r="A31" i="4"/>
  <c r="A27" i="4"/>
  <c r="A30" i="4"/>
  <c r="A29" i="4"/>
  <c r="K6" i="4"/>
  <c r="J6" i="4"/>
  <c r="J24" i="4" l="1"/>
  <c r="K24" i="4"/>
  <c r="K25" i="4"/>
  <c r="J25" i="4"/>
  <c r="J23" i="4"/>
  <c r="K23" i="4"/>
  <c r="J26" i="4"/>
  <c r="K26" i="4"/>
  <c r="H26" i="4"/>
  <c r="E30" i="6" s="1" a="1"/>
  <c r="E30" i="6" s="1"/>
  <c r="F30" i="6" s="1"/>
  <c r="I26" i="4"/>
  <c r="H25" i="4"/>
  <c r="I25" i="4"/>
  <c r="G29" i="6" s="1" a="1"/>
  <c r="G29" i="6" s="1"/>
  <c r="H29" i="6" s="1"/>
  <c r="H24" i="4"/>
  <c r="I24" i="4"/>
  <c r="G28" i="6" s="1" a="1"/>
  <c r="G28" i="6" s="1"/>
  <c r="H28" i="6" s="1"/>
  <c r="H23" i="4"/>
  <c r="I23" i="4"/>
  <c r="G27" i="6" s="1" a="1"/>
  <c r="G27" i="6" s="1"/>
  <c r="H27" i="6" s="1"/>
  <c r="K22" i="4"/>
  <c r="J22" i="4"/>
  <c r="H22" i="4"/>
  <c r="I22" i="4"/>
  <c r="G26" i="6" s="1" a="1"/>
  <c r="G26" i="6" s="1"/>
  <c r="H26" i="6" s="1"/>
  <c r="F30" i="4" a="1"/>
  <c r="F30" i="4" s="1"/>
  <c r="G30" i="4" s="1"/>
  <c r="D30" i="4"/>
  <c r="F31" i="4" a="1"/>
  <c r="F31" i="4" s="1"/>
  <c r="G31" i="4" s="1"/>
  <c r="D31" i="4"/>
  <c r="F29" i="4" a="1"/>
  <c r="F29" i="4" s="1"/>
  <c r="G29" i="4" s="1"/>
  <c r="D29" i="4"/>
  <c r="F27" i="4" a="1"/>
  <c r="F27" i="4" s="1"/>
  <c r="G27" i="4" s="1"/>
  <c r="D27" i="4"/>
  <c r="F28" i="4" a="1"/>
  <c r="F28" i="4" s="1"/>
  <c r="G28" i="4" s="1"/>
  <c r="D28" i="4"/>
  <c r="E24" i="4"/>
  <c r="L24" i="4" s="1"/>
  <c r="E25" i="4"/>
  <c r="L25" i="4" s="1"/>
  <c r="E22" i="4"/>
  <c r="L22" i="4" s="1"/>
  <c r="E26" i="4"/>
  <c r="L26" i="4" s="1"/>
  <c r="E23" i="4"/>
  <c r="L23" i="4" s="1"/>
  <c r="A35" i="4"/>
  <c r="A36" i="4"/>
  <c r="A34" i="4"/>
  <c r="A32" i="4"/>
  <c r="A33" i="4"/>
  <c r="G23" i="6" a="1"/>
  <c r="G23" i="6" s="1"/>
  <c r="H23" i="6" s="1"/>
  <c r="E20" i="6" a="1"/>
  <c r="E20" i="6" s="1"/>
  <c r="F20" i="6" s="1"/>
  <c r="E19" i="6" a="1"/>
  <c r="E19" i="6" s="1"/>
  <c r="F19" i="6" s="1"/>
  <c r="E18" i="6" a="1"/>
  <c r="E18" i="6" s="1"/>
  <c r="F18" i="6" s="1"/>
  <c r="E15" i="6" a="1"/>
  <c r="E15" i="6" s="1"/>
  <c r="F15" i="6" s="1"/>
  <c r="C10" i="5"/>
  <c r="C6" i="5"/>
  <c r="C7" i="5"/>
  <c r="C8" i="5"/>
  <c r="C4" i="5"/>
  <c r="J28" i="4" l="1"/>
  <c r="K28" i="4"/>
  <c r="J29" i="4"/>
  <c r="K29" i="4"/>
  <c r="J30" i="4"/>
  <c r="K30" i="4"/>
  <c r="J27" i="4"/>
  <c r="K27" i="4"/>
  <c r="K31" i="4"/>
  <c r="J31" i="4"/>
  <c r="H27" i="4"/>
  <c r="E31" i="6" s="1" a="1"/>
  <c r="E31" i="6" s="1"/>
  <c r="F31" i="6" s="1"/>
  <c r="I27" i="4"/>
  <c r="G31" i="6" s="1" a="1"/>
  <c r="G31" i="6" s="1"/>
  <c r="H31" i="6" s="1"/>
  <c r="H31" i="4"/>
  <c r="E35" i="6" s="1" a="1"/>
  <c r="E35" i="6" s="1"/>
  <c r="F35" i="6" s="1"/>
  <c r="I31" i="4"/>
  <c r="G35" i="6" s="1" a="1"/>
  <c r="G35" i="6" s="1"/>
  <c r="H35" i="6" s="1"/>
  <c r="H28" i="4"/>
  <c r="E32" i="6" s="1" a="1"/>
  <c r="E32" i="6" s="1"/>
  <c r="F32" i="6" s="1"/>
  <c r="I28" i="4"/>
  <c r="G32" i="6" s="1" a="1"/>
  <c r="G32" i="6" s="1"/>
  <c r="H32" i="6" s="1"/>
  <c r="H29" i="4"/>
  <c r="E33" i="6" s="1" a="1"/>
  <c r="E33" i="6" s="1"/>
  <c r="F33" i="6" s="1"/>
  <c r="I29" i="4"/>
  <c r="G33" i="6" s="1" a="1"/>
  <c r="G33" i="6" s="1"/>
  <c r="H33" i="6" s="1"/>
  <c r="H30" i="4"/>
  <c r="E34" i="6" s="1" a="1"/>
  <c r="E34" i="6" s="1"/>
  <c r="F34" i="6" s="1"/>
  <c r="I30" i="4"/>
  <c r="G34" i="6" s="1" a="1"/>
  <c r="G34" i="6" s="1"/>
  <c r="H34" i="6" s="1"/>
  <c r="F33" i="4" a="1"/>
  <c r="F33" i="4" s="1"/>
  <c r="G33" i="4" s="1"/>
  <c r="D33" i="4"/>
  <c r="F32" i="4" a="1"/>
  <c r="F32" i="4" s="1"/>
  <c r="G32" i="4" s="1"/>
  <c r="D32" i="4"/>
  <c r="F34" i="4" a="1"/>
  <c r="F34" i="4" s="1"/>
  <c r="G34" i="4" s="1"/>
  <c r="D34" i="4"/>
  <c r="F36" i="4" a="1"/>
  <c r="F36" i="4" s="1"/>
  <c r="G36" i="4" s="1"/>
  <c r="D36" i="4"/>
  <c r="F35" i="4" a="1"/>
  <c r="F35" i="4" s="1"/>
  <c r="G35" i="4" s="1"/>
  <c r="D35" i="4"/>
  <c r="E28" i="4"/>
  <c r="L28" i="4" s="1"/>
  <c r="E27" i="4"/>
  <c r="L27" i="4" s="1"/>
  <c r="E29" i="4"/>
  <c r="L29" i="4" s="1"/>
  <c r="E31" i="4"/>
  <c r="L31" i="4" s="1"/>
  <c r="E30" i="4"/>
  <c r="L30" i="4" s="1"/>
  <c r="E16" i="6" a="1"/>
  <c r="E16" i="6" s="1"/>
  <c r="F16" i="6" s="1"/>
  <c r="A41" i="4"/>
  <c r="A39" i="4"/>
  <c r="A37" i="4"/>
  <c r="A38" i="4"/>
  <c r="A40" i="4"/>
  <c r="E10" i="6" a="1"/>
  <c r="E10" i="6" s="1"/>
  <c r="F10" i="6" s="1"/>
  <c r="E5" i="6" a="1"/>
  <c r="E5" i="6" s="1"/>
  <c r="F5" i="6" s="1"/>
  <c r="E9" i="6" a="1"/>
  <c r="E9" i="6" s="1"/>
  <c r="F9" i="6" s="1"/>
  <c r="E11" i="6" a="1"/>
  <c r="E11" i="6" s="1"/>
  <c r="F11" i="6" s="1"/>
  <c r="E6" i="6" a="1"/>
  <c r="E6" i="6" s="1"/>
  <c r="F6" i="6" s="1"/>
  <c r="E4" i="6" a="1"/>
  <c r="E4" i="6" s="1"/>
  <c r="E29" i="6" a="1"/>
  <c r="E29" i="6" s="1"/>
  <c r="F29" i="6" s="1"/>
  <c r="G30" i="6" a="1"/>
  <c r="G30" i="6" s="1"/>
  <c r="H30" i="6" s="1"/>
  <c r="E28" i="6" a="1"/>
  <c r="E28" i="6" s="1"/>
  <c r="F28" i="6" s="1"/>
  <c r="E27" i="6" a="1"/>
  <c r="E27" i="6" s="1"/>
  <c r="F27" i="6" s="1"/>
  <c r="E26" i="6" a="1"/>
  <c r="E26" i="6" s="1"/>
  <c r="F26" i="6" s="1"/>
  <c r="E23" i="6" a="1"/>
  <c r="E23" i="6" s="1"/>
  <c r="F23" i="6" s="1"/>
  <c r="E22" i="6" a="1"/>
  <c r="E22" i="6" s="1"/>
  <c r="F22" i="6" s="1"/>
  <c r="E21" i="6" a="1"/>
  <c r="E21" i="6" s="1"/>
  <c r="F21" i="6" s="1"/>
  <c r="K7" i="4"/>
  <c r="K2" i="4"/>
  <c r="K10" i="4"/>
  <c r="K5" i="4"/>
  <c r="K9" i="4"/>
  <c r="K11" i="4"/>
  <c r="K16" i="4"/>
  <c r="K4" i="4"/>
  <c r="K8" i="4"/>
  <c r="K3" i="4"/>
  <c r="K35" i="4" l="1"/>
  <c r="J35" i="4"/>
  <c r="J34" i="4"/>
  <c r="K34" i="4"/>
  <c r="J33" i="4"/>
  <c r="K33" i="4"/>
  <c r="J36" i="4"/>
  <c r="K36" i="4"/>
  <c r="J32" i="4"/>
  <c r="K32" i="4"/>
  <c r="H35" i="4"/>
  <c r="E39" i="6" s="1" a="1"/>
  <c r="E39" i="6" s="1"/>
  <c r="F39" i="6" s="1"/>
  <c r="I35" i="4"/>
  <c r="G39" i="6" s="1" a="1"/>
  <c r="G39" i="6" s="1"/>
  <c r="H39" i="6" s="1"/>
  <c r="H34" i="4"/>
  <c r="E38" i="6" s="1" a="1"/>
  <c r="E38" i="6" s="1"/>
  <c r="F38" i="6" s="1"/>
  <c r="I34" i="4"/>
  <c r="G38" i="6" s="1" a="1"/>
  <c r="G38" i="6" s="1"/>
  <c r="H38" i="6" s="1"/>
  <c r="H33" i="4"/>
  <c r="E37" i="6" s="1" a="1"/>
  <c r="E37" i="6" s="1"/>
  <c r="F37" i="6" s="1"/>
  <c r="I33" i="4"/>
  <c r="G37" i="6" s="1" a="1"/>
  <c r="G37" i="6" s="1"/>
  <c r="H37" i="6" s="1"/>
  <c r="H36" i="4"/>
  <c r="E40" i="6" s="1" a="1"/>
  <c r="E40" i="6" s="1"/>
  <c r="F40" i="6" s="1"/>
  <c r="I36" i="4"/>
  <c r="G40" i="6" s="1" a="1"/>
  <c r="G40" i="6" s="1"/>
  <c r="H40" i="6" s="1"/>
  <c r="H32" i="4"/>
  <c r="E36" i="6" s="1" a="1"/>
  <c r="E36" i="6" s="1"/>
  <c r="F36" i="6" s="1"/>
  <c r="I32" i="4"/>
  <c r="G36" i="6" s="1" a="1"/>
  <c r="G36" i="6" s="1"/>
  <c r="H36" i="6" s="1"/>
  <c r="F40" i="4" a="1"/>
  <c r="F40" i="4" s="1"/>
  <c r="G40" i="4" s="1"/>
  <c r="D40" i="4"/>
  <c r="F37" i="4" a="1"/>
  <c r="F37" i="4" s="1"/>
  <c r="G37" i="4" s="1"/>
  <c r="D37" i="4"/>
  <c r="F41" i="4" a="1"/>
  <c r="F41" i="4" s="1"/>
  <c r="G41" i="4" s="1"/>
  <c r="D41" i="4"/>
  <c r="F38" i="4" a="1"/>
  <c r="F38" i="4" s="1"/>
  <c r="G38" i="4" s="1"/>
  <c r="D38" i="4"/>
  <c r="F39" i="4" a="1"/>
  <c r="F39" i="4" s="1"/>
  <c r="G39" i="4" s="1"/>
  <c r="D39" i="4"/>
  <c r="E35" i="4"/>
  <c r="L35" i="4" s="1"/>
  <c r="E36" i="4"/>
  <c r="L36" i="4" s="1"/>
  <c r="E34" i="4"/>
  <c r="L34" i="4" s="1"/>
  <c r="E32" i="4"/>
  <c r="L32" i="4" s="1"/>
  <c r="E33" i="4"/>
  <c r="L33" i="4" s="1"/>
  <c r="E17" i="6" a="1"/>
  <c r="E17" i="6" s="1"/>
  <c r="F17" i="6" s="1"/>
  <c r="A44" i="4"/>
  <c r="A45" i="4"/>
  <c r="A46" i="4"/>
  <c r="A43" i="4"/>
  <c r="A42" i="4"/>
  <c r="G5" i="6" a="1"/>
  <c r="G5" i="6" s="1"/>
  <c r="H5" i="6" s="1"/>
  <c r="G6" i="6" a="1"/>
  <c r="G6" i="6" s="1"/>
  <c r="H6" i="6" s="1"/>
  <c r="G9" i="6" a="1"/>
  <c r="G9" i="6" s="1"/>
  <c r="H9" i="6" s="1"/>
  <c r="G4" i="6" a="1"/>
  <c r="G4" i="6" s="1"/>
  <c r="J10" i="4"/>
  <c r="J5" i="4"/>
  <c r="J7" i="4"/>
  <c r="J2" i="4"/>
  <c r="J4" i="4"/>
  <c r="J9" i="4"/>
  <c r="J11" i="4"/>
  <c r="J16" i="4"/>
  <c r="J8" i="4"/>
  <c r="J3" i="4"/>
  <c r="F4" i="6"/>
  <c r="J38" i="4" l="1"/>
  <c r="K38" i="4"/>
  <c r="J39" i="4"/>
  <c r="K39" i="4"/>
  <c r="J40" i="4"/>
  <c r="K40" i="4"/>
  <c r="K41" i="4"/>
  <c r="J41" i="4"/>
  <c r="K37" i="4"/>
  <c r="J37" i="4"/>
  <c r="H39" i="4"/>
  <c r="E43" i="6" s="1" a="1"/>
  <c r="E43" i="6" s="1"/>
  <c r="F43" i="6" s="1"/>
  <c r="I39" i="4"/>
  <c r="G43" i="6" s="1" a="1"/>
  <c r="G43" i="6" s="1"/>
  <c r="H43" i="6" s="1"/>
  <c r="H41" i="4"/>
  <c r="E45" i="6" s="1" a="1"/>
  <c r="E45" i="6" s="1"/>
  <c r="F45" i="6" s="1"/>
  <c r="I41" i="4"/>
  <c r="G45" i="6" s="1" a="1"/>
  <c r="G45" i="6" s="1"/>
  <c r="H45" i="6" s="1"/>
  <c r="H40" i="4"/>
  <c r="E44" i="6" s="1" a="1"/>
  <c r="E44" i="6" s="1"/>
  <c r="F44" i="6" s="1"/>
  <c r="I40" i="4"/>
  <c r="G44" i="6" s="1" a="1"/>
  <c r="G44" i="6" s="1"/>
  <c r="H44" i="6" s="1"/>
  <c r="H38" i="4"/>
  <c r="E42" i="6" s="1" a="1"/>
  <c r="E42" i="6" s="1"/>
  <c r="F42" i="6" s="1"/>
  <c r="I38" i="4"/>
  <c r="G42" i="6" s="1" a="1"/>
  <c r="G42" i="6" s="1"/>
  <c r="H42" i="6" s="1"/>
  <c r="H37" i="4"/>
  <c r="I37" i="4"/>
  <c r="G41" i="6" s="1" a="1"/>
  <c r="G41" i="6" s="1"/>
  <c r="H41" i="6" s="1"/>
  <c r="F46" i="4" a="1"/>
  <c r="F46" i="4" s="1"/>
  <c r="G46" i="4" s="1"/>
  <c r="D46" i="4"/>
  <c r="F44" i="4" a="1"/>
  <c r="F44" i="4" s="1"/>
  <c r="G44" i="4" s="1"/>
  <c r="D44" i="4"/>
  <c r="F43" i="4" a="1"/>
  <c r="F43" i="4" s="1"/>
  <c r="G43" i="4" s="1"/>
  <c r="D43" i="4"/>
  <c r="F45" i="4" a="1"/>
  <c r="F45" i="4" s="1"/>
  <c r="G45" i="4" s="1"/>
  <c r="D45" i="4"/>
  <c r="E39" i="4"/>
  <c r="L39" i="4" s="1"/>
  <c r="E38" i="4"/>
  <c r="L38" i="4" s="1"/>
  <c r="E41" i="4"/>
  <c r="L41" i="4" s="1"/>
  <c r="E37" i="4"/>
  <c r="L37" i="4" s="1"/>
  <c r="E40" i="4"/>
  <c r="L40" i="4" s="1"/>
  <c r="F42" i="4" a="1"/>
  <c r="F42" i="4" s="1"/>
  <c r="G42" i="4" s="1"/>
  <c r="D42" i="4"/>
  <c r="A48" i="4"/>
  <c r="A50" i="4"/>
  <c r="A47" i="4"/>
  <c r="A51" i="4"/>
  <c r="A49" i="4"/>
  <c r="H4" i="6"/>
  <c r="J43" i="4" l="1"/>
  <c r="K43" i="4"/>
  <c r="J45" i="4"/>
  <c r="K45" i="4"/>
  <c r="J46" i="4"/>
  <c r="K46" i="4"/>
  <c r="K44" i="4"/>
  <c r="J44" i="4"/>
  <c r="H43" i="4"/>
  <c r="E49" i="6" s="1" a="1"/>
  <c r="E49" i="6" s="1"/>
  <c r="F49" i="6" s="1"/>
  <c r="I43" i="4"/>
  <c r="G49" i="6" s="1" a="1"/>
  <c r="G49" i="6" s="1"/>
  <c r="H49" i="6" s="1"/>
  <c r="H46" i="4"/>
  <c r="E52" i="6" s="1" a="1"/>
  <c r="E52" i="6" s="1"/>
  <c r="F52" i="6" s="1"/>
  <c r="I46" i="4"/>
  <c r="G52" i="6" s="1" a="1"/>
  <c r="G52" i="6" s="1"/>
  <c r="H52" i="6" s="1"/>
  <c r="H45" i="4"/>
  <c r="I45" i="4"/>
  <c r="G51" i="6" s="1" a="1"/>
  <c r="G51" i="6" s="1"/>
  <c r="H51" i="6" s="1"/>
  <c r="H44" i="4"/>
  <c r="I44" i="4"/>
  <c r="G50" i="6" s="1" a="1"/>
  <c r="G50" i="6" s="1"/>
  <c r="H50" i="6" s="1"/>
  <c r="F51" i="4" a="1"/>
  <c r="F51" i="4" s="1"/>
  <c r="G51" i="4" s="1"/>
  <c r="D51" i="4"/>
  <c r="F50" i="4" a="1"/>
  <c r="F50" i="4" s="1"/>
  <c r="G50" i="4" s="1"/>
  <c r="D50" i="4"/>
  <c r="F48" i="4" a="1"/>
  <c r="F48" i="4" s="1"/>
  <c r="G48" i="4" s="1"/>
  <c r="D48" i="4"/>
  <c r="E45" i="4"/>
  <c r="L45" i="4" s="1"/>
  <c r="E43" i="4"/>
  <c r="L43" i="4" s="1"/>
  <c r="E44" i="4"/>
  <c r="L44" i="4" s="1"/>
  <c r="E46" i="4"/>
  <c r="L46" i="4" s="1"/>
  <c r="F49" i="4" a="1"/>
  <c r="F49" i="4" s="1"/>
  <c r="G49" i="4" s="1"/>
  <c r="D49" i="4"/>
  <c r="F47" i="4" a="1"/>
  <c r="F47" i="4" s="1"/>
  <c r="G47" i="4" s="1"/>
  <c r="D47" i="4"/>
  <c r="H42" i="4"/>
  <c r="I42" i="4"/>
  <c r="G48" i="6" s="1" a="1"/>
  <c r="G48" i="6" s="1"/>
  <c r="H48" i="6" s="1"/>
  <c r="E42" i="4"/>
  <c r="L42" i="4" s="1"/>
  <c r="E41" i="6" a="1"/>
  <c r="E41" i="6" s="1"/>
  <c r="F41" i="6" s="1"/>
  <c r="A55" i="4"/>
  <c r="J42" i="4"/>
  <c r="K42" i="4"/>
  <c r="A56" i="4"/>
  <c r="A54" i="4"/>
  <c r="A52" i="4"/>
  <c r="A53" i="4"/>
  <c r="J49" i="4" l="1"/>
  <c r="K49" i="4"/>
  <c r="J50" i="4"/>
  <c r="K50" i="4"/>
  <c r="K48" i="4"/>
  <c r="J48" i="4"/>
  <c r="J51" i="4"/>
  <c r="K51" i="4"/>
  <c r="J47" i="4"/>
  <c r="K47" i="4"/>
  <c r="H50" i="4"/>
  <c r="I50" i="4"/>
  <c r="G56" i="6" s="1" a="1"/>
  <c r="G56" i="6" s="1"/>
  <c r="H56" i="6" s="1"/>
  <c r="H47" i="4"/>
  <c r="E53" i="6" s="1" a="1"/>
  <c r="E53" i="6" s="1"/>
  <c r="F53" i="6" s="1"/>
  <c r="I47" i="4"/>
  <c r="G53" i="6" s="1" a="1"/>
  <c r="G53" i="6" s="1"/>
  <c r="H53" i="6" s="1"/>
  <c r="H48" i="4"/>
  <c r="E54" i="6" s="1" a="1"/>
  <c r="E54" i="6" s="1"/>
  <c r="F54" i="6" s="1"/>
  <c r="I48" i="4"/>
  <c r="G54" i="6" s="1" a="1"/>
  <c r="G54" i="6" s="1"/>
  <c r="H54" i="6" s="1"/>
  <c r="H51" i="4"/>
  <c r="E57" i="6" s="1" a="1"/>
  <c r="E57" i="6" s="1"/>
  <c r="F57" i="6" s="1"/>
  <c r="I51" i="4"/>
  <c r="G57" i="6" s="1" a="1"/>
  <c r="G57" i="6" s="1"/>
  <c r="H57" i="6" s="1"/>
  <c r="H49" i="4"/>
  <c r="E55" i="6" s="1" a="1"/>
  <c r="E55" i="6" s="1"/>
  <c r="F55" i="6" s="1"/>
  <c r="I49" i="4"/>
  <c r="G55" i="6" s="1" a="1"/>
  <c r="G55" i="6" s="1"/>
  <c r="H55" i="6" s="1"/>
  <c r="F55" i="4" a="1"/>
  <c r="F55" i="4" s="1"/>
  <c r="G55" i="4" s="1"/>
  <c r="D55" i="4"/>
  <c r="F53" i="4" a="1"/>
  <c r="F53" i="4" s="1"/>
  <c r="G53" i="4" s="1"/>
  <c r="D53" i="4"/>
  <c r="F52" i="4" a="1"/>
  <c r="F52" i="4" s="1"/>
  <c r="G52" i="4" s="1"/>
  <c r="D52" i="4"/>
  <c r="E47" i="4"/>
  <c r="L47" i="4" s="1"/>
  <c r="E49" i="4"/>
  <c r="L49" i="4" s="1"/>
  <c r="E48" i="4"/>
  <c r="L48" i="4" s="1"/>
  <c r="E50" i="4"/>
  <c r="L50" i="4" s="1"/>
  <c r="E51" i="4"/>
  <c r="L51" i="4" s="1"/>
  <c r="F54" i="4" a="1"/>
  <c r="F54" i="4" s="1"/>
  <c r="G54" i="4" s="1"/>
  <c r="D54" i="4"/>
  <c r="F56" i="4" a="1"/>
  <c r="F56" i="4" s="1"/>
  <c r="G56" i="4" s="1"/>
  <c r="D56" i="4"/>
  <c r="E50" i="6" a="1"/>
  <c r="E50" i="6" s="1"/>
  <c r="F50" i="6" s="1"/>
  <c r="E51" i="6" a="1"/>
  <c r="E51" i="6" s="1"/>
  <c r="F51" i="6" s="1"/>
  <c r="E48" i="6" a="1"/>
  <c r="E48" i="6" s="1"/>
  <c r="F48" i="6" s="1"/>
  <c r="A58" i="4"/>
  <c r="A59" i="4"/>
  <c r="A57" i="4"/>
  <c r="A61" i="4"/>
  <c r="A60" i="4"/>
  <c r="J56" i="4" l="1"/>
  <c r="K56" i="4"/>
  <c r="J54" i="4"/>
  <c r="K54" i="4"/>
  <c r="J55" i="4"/>
  <c r="K55" i="4"/>
  <c r="H55" i="4"/>
  <c r="E61" i="6" s="1" a="1"/>
  <c r="E61" i="6" s="1"/>
  <c r="F61" i="6" s="1"/>
  <c r="I55" i="4"/>
  <c r="G61" i="6" s="1" a="1"/>
  <c r="G61" i="6" s="1"/>
  <c r="H61" i="6" s="1"/>
  <c r="H56" i="4"/>
  <c r="E62" i="6" s="1" a="1"/>
  <c r="E62" i="6" s="1"/>
  <c r="F62" i="6" s="1"/>
  <c r="I56" i="4"/>
  <c r="G62" i="6" s="1" a="1"/>
  <c r="G62" i="6" s="1"/>
  <c r="H62" i="6" s="1"/>
  <c r="H54" i="4"/>
  <c r="E60" i="6" s="1" a="1"/>
  <c r="E60" i="6" s="1"/>
  <c r="F60" i="6" s="1"/>
  <c r="I54" i="4"/>
  <c r="G60" i="6" s="1" a="1"/>
  <c r="G60" i="6" s="1"/>
  <c r="H60" i="6" s="1"/>
  <c r="F60" i="4" a="1"/>
  <c r="F60" i="4" s="1"/>
  <c r="G60" i="4" s="1"/>
  <c r="D60" i="4"/>
  <c r="F61" i="4" a="1"/>
  <c r="F61" i="4" s="1"/>
  <c r="G61" i="4" s="1"/>
  <c r="D61" i="4"/>
  <c r="F59" i="4" a="1"/>
  <c r="F59" i="4" s="1"/>
  <c r="G59" i="4" s="1"/>
  <c r="D59" i="4"/>
  <c r="H52" i="4"/>
  <c r="E58" i="6" s="1" a="1"/>
  <c r="E58" i="6" s="1"/>
  <c r="F58" i="6" s="1"/>
  <c r="I52" i="4"/>
  <c r="G58" i="6" s="1" a="1"/>
  <c r="G58" i="6" s="1"/>
  <c r="H58" i="6" s="1"/>
  <c r="E52" i="4"/>
  <c r="L52" i="4" s="1"/>
  <c r="H53" i="4"/>
  <c r="E59" i="6" s="1" a="1"/>
  <c r="E59" i="6" s="1"/>
  <c r="F59" i="6" s="1"/>
  <c r="E53" i="4"/>
  <c r="L53" i="4" s="1"/>
  <c r="I53" i="4"/>
  <c r="G59" i="6" s="1" a="1"/>
  <c r="G59" i="6" s="1"/>
  <c r="H59" i="6" s="1"/>
  <c r="E55" i="4"/>
  <c r="L55" i="4" s="1"/>
  <c r="F57" i="4" a="1"/>
  <c r="F57" i="4" s="1"/>
  <c r="G57" i="4" s="1"/>
  <c r="D57" i="4"/>
  <c r="F58" i="4" a="1"/>
  <c r="F58" i="4" s="1"/>
  <c r="G58" i="4" s="1"/>
  <c r="D58" i="4"/>
  <c r="E56" i="4"/>
  <c r="L56" i="4" s="1"/>
  <c r="E54" i="4"/>
  <c r="L54" i="4" s="1"/>
  <c r="E56" i="6" a="1"/>
  <c r="E56" i="6" s="1"/>
  <c r="F56" i="6" s="1"/>
  <c r="A66" i="4"/>
  <c r="A64" i="4"/>
  <c r="A65" i="4"/>
  <c r="K52" i="4"/>
  <c r="J52" i="4"/>
  <c r="A63" i="4"/>
  <c r="A62" i="4"/>
  <c r="J53" i="4"/>
  <c r="K53" i="4"/>
  <c r="J58" i="4" l="1"/>
  <c r="K58" i="4"/>
  <c r="J59" i="4"/>
  <c r="K59" i="4"/>
  <c r="J60" i="4"/>
  <c r="K60" i="4"/>
  <c r="J57" i="4"/>
  <c r="K57" i="4"/>
  <c r="J61" i="4"/>
  <c r="K61" i="4"/>
  <c r="H58" i="4"/>
  <c r="E64" i="6" s="1" a="1"/>
  <c r="E64" i="6" s="1"/>
  <c r="F64" i="6" s="1"/>
  <c r="I58" i="4"/>
  <c r="G64" i="6" s="1" a="1"/>
  <c r="G64" i="6" s="1"/>
  <c r="H64" i="6" s="1"/>
  <c r="H59" i="4"/>
  <c r="E65" i="6" s="1" a="1"/>
  <c r="E65" i="6" s="1"/>
  <c r="F65" i="6" s="1"/>
  <c r="I59" i="4"/>
  <c r="G65" i="6" s="1" a="1"/>
  <c r="G65" i="6" s="1"/>
  <c r="H65" i="6" s="1"/>
  <c r="H60" i="4"/>
  <c r="E66" i="6" s="1" a="1"/>
  <c r="E66" i="6" s="1"/>
  <c r="F66" i="6" s="1"/>
  <c r="I60" i="4"/>
  <c r="G66" i="6" s="1" a="1"/>
  <c r="G66" i="6" s="1"/>
  <c r="H66" i="6" s="1"/>
  <c r="H57" i="4"/>
  <c r="E63" i="6" s="1" a="1"/>
  <c r="E63" i="6" s="1"/>
  <c r="F63" i="6" s="1"/>
  <c r="I57" i="4"/>
  <c r="G63" i="6" s="1" a="1"/>
  <c r="G63" i="6" s="1"/>
  <c r="H63" i="6" s="1"/>
  <c r="H61" i="4"/>
  <c r="E67" i="6" s="1" a="1"/>
  <c r="E67" i="6" s="1"/>
  <c r="F67" i="6" s="1"/>
  <c r="I61" i="4"/>
  <c r="G67" i="6" s="1" a="1"/>
  <c r="G67" i="6" s="1"/>
  <c r="H67" i="6" s="1"/>
  <c r="F62" i="4" a="1"/>
  <c r="F62" i="4" s="1"/>
  <c r="G62" i="4" s="1"/>
  <c r="D62" i="4"/>
  <c r="F63" i="4" a="1"/>
  <c r="F63" i="4" s="1"/>
  <c r="G63" i="4" s="1"/>
  <c r="D63" i="4"/>
  <c r="F64" i="4" a="1"/>
  <c r="F64" i="4" s="1"/>
  <c r="G64" i="4" s="1"/>
  <c r="D64" i="4"/>
  <c r="E59" i="4"/>
  <c r="L59" i="4" s="1"/>
  <c r="E61" i="4"/>
  <c r="L61" i="4" s="1"/>
  <c r="E60" i="4"/>
  <c r="L60" i="4" s="1"/>
  <c r="F65" i="4" a="1"/>
  <c r="F65" i="4" s="1"/>
  <c r="G65" i="4" s="1"/>
  <c r="D65" i="4"/>
  <c r="F66" i="4" a="1"/>
  <c r="F66" i="4" s="1"/>
  <c r="G66" i="4" s="1"/>
  <c r="D66" i="4"/>
  <c r="E58" i="4"/>
  <c r="L58" i="4" s="1"/>
  <c r="E57" i="4"/>
  <c r="L57" i="4" s="1"/>
  <c r="A67" i="4"/>
  <c r="A68" i="4"/>
  <c r="A70" i="4"/>
  <c r="A71" i="4"/>
  <c r="A69" i="4"/>
  <c r="J66" i="4" l="1"/>
  <c r="K66" i="4"/>
  <c r="K63" i="4"/>
  <c r="J63" i="4"/>
  <c r="J65" i="4"/>
  <c r="K65" i="4"/>
  <c r="J64" i="4"/>
  <c r="K64" i="4"/>
  <c r="J62" i="4"/>
  <c r="K62" i="4"/>
  <c r="H64" i="4"/>
  <c r="E72" i="6" s="1" a="1"/>
  <c r="E72" i="6" s="1"/>
  <c r="F72" i="6" s="1"/>
  <c r="I64" i="4"/>
  <c r="G72" i="6" s="1" a="1"/>
  <c r="G72" i="6" s="1"/>
  <c r="H72" i="6" s="1"/>
  <c r="H66" i="4"/>
  <c r="E74" i="6" s="1" a="1"/>
  <c r="E74" i="6" s="1"/>
  <c r="F74" i="6" s="1"/>
  <c r="I66" i="4"/>
  <c r="G74" i="6" s="1" a="1"/>
  <c r="G74" i="6" s="1"/>
  <c r="H74" i="6" s="1"/>
  <c r="H63" i="4"/>
  <c r="E71" i="6" s="1" a="1"/>
  <c r="E71" i="6" s="1"/>
  <c r="F71" i="6" s="1"/>
  <c r="I63" i="4"/>
  <c r="G71" i="6" s="1" a="1"/>
  <c r="G71" i="6" s="1"/>
  <c r="H71" i="6" s="1"/>
  <c r="H62" i="4"/>
  <c r="E70" i="6" s="1" a="1"/>
  <c r="E70" i="6" s="1"/>
  <c r="F70" i="6" s="1"/>
  <c r="I62" i="4"/>
  <c r="G70" i="6" s="1" a="1"/>
  <c r="G70" i="6" s="1"/>
  <c r="H70" i="6" s="1"/>
  <c r="H65" i="4"/>
  <c r="E73" i="6" s="1" a="1"/>
  <c r="E73" i="6" s="1"/>
  <c r="F73" i="6" s="1"/>
  <c r="I65" i="4"/>
  <c r="G73" i="6" s="1" a="1"/>
  <c r="G73" i="6" s="1"/>
  <c r="H73" i="6" s="1"/>
  <c r="F71" i="4" a="1"/>
  <c r="F71" i="4" s="1"/>
  <c r="G71" i="4" s="1"/>
  <c r="D71" i="4"/>
  <c r="F69" i="4" a="1"/>
  <c r="F69" i="4" s="1"/>
  <c r="G69" i="4" s="1"/>
  <c r="D69" i="4"/>
  <c r="F70" i="4" a="1"/>
  <c r="F70" i="4" s="1"/>
  <c r="G70" i="4" s="1"/>
  <c r="D70" i="4"/>
  <c r="F67" i="4" a="1"/>
  <c r="F67" i="4" s="1"/>
  <c r="G67" i="4" s="1"/>
  <c r="D67" i="4"/>
  <c r="E64" i="4"/>
  <c r="L64" i="4" s="1"/>
  <c r="E63" i="4"/>
  <c r="L63" i="4" s="1"/>
  <c r="E62" i="4"/>
  <c r="L62" i="4" s="1"/>
  <c r="F68" i="4" a="1"/>
  <c r="F68" i="4" s="1"/>
  <c r="G68" i="4" s="1"/>
  <c r="D68" i="4"/>
  <c r="E66" i="4"/>
  <c r="L66" i="4" s="1"/>
  <c r="E65" i="4"/>
  <c r="L65" i="4" s="1"/>
  <c r="A74" i="4"/>
  <c r="A76" i="4"/>
  <c r="A73" i="4"/>
  <c r="A75" i="4"/>
  <c r="A72" i="4"/>
  <c r="K68" i="4" l="1"/>
  <c r="J68" i="4"/>
  <c r="J67" i="4"/>
  <c r="K67" i="4"/>
  <c r="K69" i="4"/>
  <c r="J69" i="4"/>
  <c r="J70" i="4"/>
  <c r="K70" i="4"/>
  <c r="K71" i="4"/>
  <c r="J71" i="4"/>
  <c r="H70" i="4"/>
  <c r="E78" i="6" s="1" a="1"/>
  <c r="E78" i="6" s="1"/>
  <c r="F78" i="6" s="1"/>
  <c r="I70" i="4"/>
  <c r="G78" i="6" s="1" a="1"/>
  <c r="G78" i="6" s="1"/>
  <c r="H78" i="6" s="1"/>
  <c r="H71" i="4"/>
  <c r="E79" i="6" s="1" a="1"/>
  <c r="E79" i="6" s="1"/>
  <c r="F79" i="6" s="1"/>
  <c r="I71" i="4"/>
  <c r="G79" i="6" s="1" a="1"/>
  <c r="G79" i="6" s="1"/>
  <c r="H79" i="6" s="1"/>
  <c r="H67" i="4"/>
  <c r="E75" i="6" s="1" a="1"/>
  <c r="E75" i="6" s="1"/>
  <c r="F75" i="6" s="1"/>
  <c r="I67" i="4"/>
  <c r="G75" i="6" s="1" a="1"/>
  <c r="G75" i="6" s="1"/>
  <c r="H75" i="6" s="1"/>
  <c r="H69" i="4"/>
  <c r="E77" i="6" s="1" a="1"/>
  <c r="E77" i="6" s="1"/>
  <c r="F77" i="6" s="1"/>
  <c r="I69" i="4"/>
  <c r="G77" i="6" s="1" a="1"/>
  <c r="G77" i="6" s="1"/>
  <c r="H77" i="6" s="1"/>
  <c r="H68" i="4"/>
  <c r="E76" i="6" s="1" a="1"/>
  <c r="E76" i="6" s="1"/>
  <c r="F76" i="6" s="1"/>
  <c r="I68" i="4"/>
  <c r="G76" i="6" s="1" a="1"/>
  <c r="G76" i="6" s="1"/>
  <c r="H76" i="6" s="1"/>
  <c r="F76" i="4" a="1"/>
  <c r="F76" i="4" s="1"/>
  <c r="G76" i="4" s="1"/>
  <c r="D76" i="4"/>
  <c r="F72" i="4" a="1"/>
  <c r="F72" i="4" s="1"/>
  <c r="G72" i="4" s="1"/>
  <c r="D72" i="4"/>
  <c r="F73" i="4" a="1"/>
  <c r="F73" i="4" s="1"/>
  <c r="G73" i="4" s="1"/>
  <c r="D73" i="4"/>
  <c r="F74" i="4" a="1"/>
  <c r="F74" i="4" s="1"/>
  <c r="G74" i="4" s="1"/>
  <c r="D74" i="4"/>
  <c r="E67" i="4"/>
  <c r="L67" i="4" s="1"/>
  <c r="E70" i="4"/>
  <c r="L70" i="4" s="1"/>
  <c r="E69" i="4"/>
  <c r="L69" i="4" s="1"/>
  <c r="E71" i="4"/>
  <c r="L71" i="4" s="1"/>
  <c r="F75" i="4" a="1"/>
  <c r="F75" i="4" s="1"/>
  <c r="G75" i="4" s="1"/>
  <c r="D75" i="4"/>
  <c r="E68" i="4"/>
  <c r="L68" i="4" s="1"/>
  <c r="A80" i="4"/>
  <c r="A81" i="4"/>
  <c r="A79" i="4"/>
  <c r="A77" i="4"/>
  <c r="A78" i="4"/>
  <c r="J74" i="4" l="1"/>
  <c r="K74" i="4"/>
  <c r="J72" i="4"/>
  <c r="K72" i="4"/>
  <c r="J75" i="4"/>
  <c r="K75" i="4"/>
  <c r="K73" i="4"/>
  <c r="J73" i="4"/>
  <c r="J76" i="4"/>
  <c r="K76" i="4"/>
  <c r="H73" i="4"/>
  <c r="E81" i="6" s="1" a="1"/>
  <c r="E81" i="6" s="1"/>
  <c r="F81" i="6" s="1"/>
  <c r="I73" i="4"/>
  <c r="G81" i="6" s="1" a="1"/>
  <c r="G81" i="6" s="1"/>
  <c r="H81" i="6" s="1"/>
  <c r="H76" i="4"/>
  <c r="E84" i="6" s="1" a="1"/>
  <c r="E84" i="6" s="1"/>
  <c r="F84" i="6" s="1"/>
  <c r="I76" i="4"/>
  <c r="G84" i="6" s="1" a="1"/>
  <c r="G84" i="6" s="1"/>
  <c r="H84" i="6" s="1"/>
  <c r="H75" i="4"/>
  <c r="E83" i="6" s="1" a="1"/>
  <c r="E83" i="6" s="1"/>
  <c r="F83" i="6" s="1"/>
  <c r="I75" i="4"/>
  <c r="G83" i="6" s="1" a="1"/>
  <c r="G83" i="6" s="1"/>
  <c r="H83" i="6" s="1"/>
  <c r="H74" i="4"/>
  <c r="E82" i="6" s="1" a="1"/>
  <c r="E82" i="6" s="1"/>
  <c r="F82" i="6" s="1"/>
  <c r="I74" i="4"/>
  <c r="G82" i="6" s="1" a="1"/>
  <c r="G82" i="6" s="1"/>
  <c r="H82" i="6" s="1"/>
  <c r="H72" i="4"/>
  <c r="E80" i="6" s="1" a="1"/>
  <c r="E80" i="6" s="1"/>
  <c r="F80" i="6" s="1"/>
  <c r="I72" i="4"/>
  <c r="G80" i="6" s="1" a="1"/>
  <c r="G80" i="6" s="1"/>
  <c r="H80" i="6" s="1"/>
  <c r="F81" i="4" a="1"/>
  <c r="F81" i="4" s="1"/>
  <c r="G81" i="4" s="1"/>
  <c r="D81" i="4"/>
  <c r="F78" i="4" a="1"/>
  <c r="F78" i="4" s="1"/>
  <c r="G78" i="4" s="1"/>
  <c r="D78" i="4"/>
  <c r="F79" i="4" a="1"/>
  <c r="F79" i="4" s="1"/>
  <c r="G79" i="4" s="1"/>
  <c r="D79" i="4"/>
  <c r="F80" i="4" a="1"/>
  <c r="F80" i="4" s="1"/>
  <c r="G80" i="4" s="1"/>
  <c r="D80" i="4"/>
  <c r="E75" i="4"/>
  <c r="L75" i="4" s="1"/>
  <c r="E74" i="4"/>
  <c r="L74" i="4" s="1"/>
  <c r="E73" i="4"/>
  <c r="L73" i="4" s="1"/>
  <c r="E72" i="4"/>
  <c r="L72" i="4" s="1"/>
  <c r="E76" i="4"/>
  <c r="L76" i="4" s="1"/>
  <c r="F77" i="4" a="1"/>
  <c r="F77" i="4" s="1"/>
  <c r="G77" i="4" s="1"/>
  <c r="D77" i="4"/>
  <c r="A84" i="4"/>
  <c r="A82" i="4"/>
  <c r="A86" i="4"/>
  <c r="A83" i="4"/>
  <c r="A85" i="4"/>
  <c r="J79" i="4" l="1"/>
  <c r="K79" i="4"/>
  <c r="K80" i="4"/>
  <c r="J80" i="4"/>
  <c r="J78" i="4"/>
  <c r="K78" i="4"/>
  <c r="K77" i="4"/>
  <c r="J77" i="4"/>
  <c r="J81" i="4"/>
  <c r="K81" i="4"/>
  <c r="H79" i="4"/>
  <c r="E87" i="6" s="1" a="1"/>
  <c r="E87" i="6" s="1"/>
  <c r="F87" i="6" s="1"/>
  <c r="I79" i="4"/>
  <c r="G87" i="6" s="1" a="1"/>
  <c r="G87" i="6" s="1"/>
  <c r="H87" i="6" s="1"/>
  <c r="H81" i="4"/>
  <c r="E89" i="6" s="1" a="1"/>
  <c r="E89" i="6" s="1"/>
  <c r="F89" i="6" s="1"/>
  <c r="I81" i="4"/>
  <c r="G89" i="6" s="1" a="1"/>
  <c r="G89" i="6" s="1"/>
  <c r="H89" i="6" s="1"/>
  <c r="H77" i="4"/>
  <c r="E85" i="6" s="1" a="1"/>
  <c r="E85" i="6" s="1"/>
  <c r="F85" i="6" s="1"/>
  <c r="I77" i="4"/>
  <c r="G85" i="6" s="1" a="1"/>
  <c r="G85" i="6" s="1"/>
  <c r="H85" i="6" s="1"/>
  <c r="H80" i="4"/>
  <c r="E88" i="6" s="1" a="1"/>
  <c r="E88" i="6" s="1"/>
  <c r="F88" i="6" s="1"/>
  <c r="I80" i="4"/>
  <c r="G88" i="6" s="1" a="1"/>
  <c r="G88" i="6" s="1"/>
  <c r="H88" i="6" s="1"/>
  <c r="H78" i="4"/>
  <c r="E86" i="6" s="1" a="1"/>
  <c r="E86" i="6" s="1"/>
  <c r="F86" i="6" s="1"/>
  <c r="I78" i="4"/>
  <c r="G86" i="6" s="1" a="1"/>
  <c r="G86" i="6" s="1"/>
  <c r="H86" i="6" s="1"/>
  <c r="F82" i="4" a="1"/>
  <c r="F82" i="4" s="1"/>
  <c r="G82" i="4" s="1"/>
  <c r="D82" i="4"/>
  <c r="E77" i="4"/>
  <c r="L77" i="4" s="1"/>
  <c r="F85" i="4" a="1"/>
  <c r="F85" i="4" s="1"/>
  <c r="G85" i="4" s="1"/>
  <c r="D85" i="4"/>
  <c r="F86" i="4" a="1"/>
  <c r="F86" i="4" s="1"/>
  <c r="G86" i="4" s="1"/>
  <c r="D86" i="4"/>
  <c r="F84" i="4" a="1"/>
  <c r="F84" i="4" s="1"/>
  <c r="G84" i="4" s="1"/>
  <c r="D84" i="4"/>
  <c r="E80" i="4"/>
  <c r="L80" i="4" s="1"/>
  <c r="E79" i="4"/>
  <c r="L79" i="4" s="1"/>
  <c r="E78" i="4"/>
  <c r="L78" i="4" s="1"/>
  <c r="E81" i="4"/>
  <c r="L81" i="4" s="1"/>
  <c r="F83" i="4" a="1"/>
  <c r="F83" i="4" s="1"/>
  <c r="G83" i="4" s="1"/>
  <c r="D83" i="4"/>
  <c r="A90" i="4"/>
  <c r="A88" i="4"/>
  <c r="A87" i="4"/>
  <c r="A91" i="4"/>
  <c r="A89" i="4"/>
  <c r="K84" i="4" l="1"/>
  <c r="J84" i="4"/>
  <c r="K86" i="4"/>
  <c r="J86" i="4"/>
  <c r="J83" i="4"/>
  <c r="K83" i="4"/>
  <c r="K85" i="4"/>
  <c r="J85" i="4"/>
  <c r="H84" i="4"/>
  <c r="E94" i="6" s="1" a="1"/>
  <c r="E94" i="6" s="1"/>
  <c r="F94" i="6" s="1"/>
  <c r="I84" i="4"/>
  <c r="G94" i="6" s="1" a="1"/>
  <c r="G94" i="6" s="1"/>
  <c r="H94" i="6" s="1"/>
  <c r="H85" i="4"/>
  <c r="E95" i="6" s="1" a="1"/>
  <c r="E95" i="6" s="1"/>
  <c r="F95" i="6" s="1"/>
  <c r="I85" i="4"/>
  <c r="G95" i="6" s="1" a="1"/>
  <c r="G95" i="6" s="1"/>
  <c r="H95" i="6" s="1"/>
  <c r="H83" i="4"/>
  <c r="E93" i="6" s="1" a="1"/>
  <c r="E93" i="6" s="1"/>
  <c r="F93" i="6" s="1"/>
  <c r="I83" i="4"/>
  <c r="H86" i="4"/>
  <c r="E96" i="6" s="1" a="1"/>
  <c r="E96" i="6" s="1"/>
  <c r="F96" i="6" s="1"/>
  <c r="I86" i="4"/>
  <c r="G96" i="6" s="1" a="1"/>
  <c r="G96" i="6" s="1"/>
  <c r="H96" i="6" s="1"/>
  <c r="F87" i="4" a="1"/>
  <c r="F87" i="4" s="1"/>
  <c r="G87" i="4" s="1"/>
  <c r="D87" i="4"/>
  <c r="H82" i="4"/>
  <c r="E92" i="6" s="1" a="1"/>
  <c r="E92" i="6" s="1"/>
  <c r="F92" i="6" s="1"/>
  <c r="E82" i="4"/>
  <c r="L82" i="4" s="1"/>
  <c r="I82" i="4"/>
  <c r="G92" i="6" s="1" a="1"/>
  <c r="G92" i="6" s="1"/>
  <c r="H92" i="6" s="1"/>
  <c r="F89" i="4" a="1"/>
  <c r="F89" i="4" s="1"/>
  <c r="G89" i="4" s="1"/>
  <c r="D89" i="4"/>
  <c r="F90" i="4" a="1"/>
  <c r="F90" i="4" s="1"/>
  <c r="G90" i="4" s="1"/>
  <c r="D90" i="4"/>
  <c r="F91" i="4" a="1"/>
  <c r="F91" i="4" s="1"/>
  <c r="G91" i="4" s="1"/>
  <c r="D91" i="4"/>
  <c r="F88" i="4" a="1"/>
  <c r="F88" i="4" s="1"/>
  <c r="G88" i="4" s="1"/>
  <c r="D88" i="4"/>
  <c r="G93" i="6" a="1"/>
  <c r="G93" i="6" s="1"/>
  <c r="H93" i="6" s="1"/>
  <c r="E83" i="4"/>
  <c r="L83" i="4" s="1"/>
  <c r="E84" i="4"/>
  <c r="L84" i="4" s="1"/>
  <c r="E86" i="4"/>
  <c r="L86" i="4" s="1"/>
  <c r="E85" i="4"/>
  <c r="L85" i="4" s="1"/>
  <c r="A96" i="4"/>
  <c r="A93" i="4"/>
  <c r="A94" i="4"/>
  <c r="J82" i="4"/>
  <c r="K82" i="4"/>
  <c r="A95" i="4"/>
  <c r="A92" i="4"/>
  <c r="K90" i="4" l="1"/>
  <c r="J90" i="4"/>
  <c r="K88" i="4"/>
  <c r="J88" i="4"/>
  <c r="J91" i="4"/>
  <c r="K91" i="4"/>
  <c r="J89" i="4"/>
  <c r="K89" i="4"/>
  <c r="K87" i="4"/>
  <c r="J87" i="4"/>
  <c r="H91" i="4"/>
  <c r="E101" i="6" s="1" a="1"/>
  <c r="E101" i="6" s="1"/>
  <c r="F101" i="6" s="1"/>
  <c r="I91" i="4"/>
  <c r="G101" i="6" s="1" a="1"/>
  <c r="G101" i="6" s="1"/>
  <c r="H101" i="6" s="1"/>
  <c r="H89" i="4"/>
  <c r="E99" i="6" s="1" a="1"/>
  <c r="E99" i="6" s="1"/>
  <c r="F99" i="6" s="1"/>
  <c r="I89" i="4"/>
  <c r="G99" i="6" s="1" a="1"/>
  <c r="G99" i="6" s="1"/>
  <c r="H99" i="6" s="1"/>
  <c r="H87" i="4"/>
  <c r="E97" i="6" s="1" a="1"/>
  <c r="E97" i="6" s="1"/>
  <c r="F97" i="6" s="1"/>
  <c r="I87" i="4"/>
  <c r="G97" i="6" s="1" a="1"/>
  <c r="G97" i="6" s="1"/>
  <c r="H97" i="6" s="1"/>
  <c r="H88" i="4"/>
  <c r="E98" i="6" s="1" a="1"/>
  <c r="E98" i="6" s="1"/>
  <c r="F98" i="6" s="1"/>
  <c r="I88" i="4"/>
  <c r="G98" i="6" s="1" a="1"/>
  <c r="G98" i="6" s="1"/>
  <c r="H98" i="6" s="1"/>
  <c r="H90" i="4"/>
  <c r="E100" i="6" s="1" a="1"/>
  <c r="E100" i="6" s="1"/>
  <c r="F100" i="6" s="1"/>
  <c r="I90" i="4"/>
  <c r="G100" i="6" s="1" a="1"/>
  <c r="G100" i="6" s="1"/>
  <c r="H100" i="6" s="1"/>
  <c r="F93" i="4" a="1"/>
  <c r="F93" i="4" s="1"/>
  <c r="G93" i="4" s="1"/>
  <c r="D93" i="4"/>
  <c r="F96" i="4" a="1"/>
  <c r="F96" i="4" s="1"/>
  <c r="G96" i="4" s="1"/>
  <c r="D96" i="4"/>
  <c r="E87" i="4"/>
  <c r="L87" i="4" s="1"/>
  <c r="F95" i="4" a="1"/>
  <c r="F95" i="4" s="1"/>
  <c r="G95" i="4" s="1"/>
  <c r="K95" i="4" s="1"/>
  <c r="D95" i="4"/>
  <c r="F92" i="4" a="1"/>
  <c r="F92" i="4" s="1"/>
  <c r="G92" i="4" s="1"/>
  <c r="D92" i="4"/>
  <c r="F94" i="4" a="1"/>
  <c r="F94" i="4" s="1"/>
  <c r="G94" i="4" s="1"/>
  <c r="D94" i="4"/>
  <c r="E88" i="4"/>
  <c r="L88" i="4" s="1"/>
  <c r="E91" i="4"/>
  <c r="L91" i="4" s="1"/>
  <c r="E90" i="4"/>
  <c r="L90" i="4" s="1"/>
  <c r="E89" i="4"/>
  <c r="L89" i="4" s="1"/>
  <c r="A97" i="4"/>
  <c r="A100" i="4"/>
  <c r="A101" i="4"/>
  <c r="A99" i="4"/>
  <c r="A98" i="4"/>
  <c r="H96" i="4" l="1"/>
  <c r="E106" i="6" s="1" a="1"/>
  <c r="E106" i="6" s="1"/>
  <c r="F106" i="6" s="1"/>
  <c r="I96" i="4"/>
  <c r="G106" i="6" s="1" a="1"/>
  <c r="G106" i="6" s="1"/>
  <c r="H106" i="6" s="1"/>
  <c r="E96" i="4"/>
  <c r="L96" i="4" s="1"/>
  <c r="H93" i="4"/>
  <c r="E103" i="6" s="1" a="1"/>
  <c r="E103" i="6" s="1"/>
  <c r="F103" i="6" s="1"/>
  <c r="E93" i="4"/>
  <c r="L93" i="4" s="1"/>
  <c r="I93" i="4"/>
  <c r="G103" i="6" s="1" a="1"/>
  <c r="G103" i="6" s="1"/>
  <c r="H103" i="6" s="1"/>
  <c r="F98" i="4" a="1"/>
  <c r="F98" i="4" s="1"/>
  <c r="G98" i="4" s="1"/>
  <c r="D98" i="4"/>
  <c r="F101" i="4" a="1"/>
  <c r="F101" i="4" s="1"/>
  <c r="D101" i="4"/>
  <c r="F100" i="4" a="1"/>
  <c r="F100" i="4" s="1"/>
  <c r="G100" i="4" s="1"/>
  <c r="D100" i="4"/>
  <c r="F99" i="4" a="1"/>
  <c r="F99" i="4" s="1"/>
  <c r="D99" i="4"/>
  <c r="F97" i="4" a="1"/>
  <c r="F97" i="4" s="1"/>
  <c r="G97" i="4" s="1"/>
  <c r="D97" i="4"/>
  <c r="H94" i="4"/>
  <c r="E104" i="6" s="1" a="1"/>
  <c r="E104" i="6" s="1"/>
  <c r="F104" i="6" s="1"/>
  <c r="E94" i="4"/>
  <c r="L94" i="4" s="1"/>
  <c r="I94" i="4"/>
  <c r="G104" i="6" s="1" a="1"/>
  <c r="G104" i="6" s="1"/>
  <c r="H104" i="6" s="1"/>
  <c r="H92" i="4"/>
  <c r="E102" i="6" s="1" a="1"/>
  <c r="E102" i="6" s="1"/>
  <c r="F102" i="6" s="1"/>
  <c r="I92" i="4"/>
  <c r="G102" i="6" s="1" a="1"/>
  <c r="G102" i="6" s="1"/>
  <c r="H102" i="6" s="1"/>
  <c r="E92" i="4"/>
  <c r="L92" i="4" s="1"/>
  <c r="H95" i="4"/>
  <c r="E105" i="6" s="1" a="1"/>
  <c r="E105" i="6" s="1"/>
  <c r="F105" i="6" s="1"/>
  <c r="E95" i="4"/>
  <c r="L95" i="4" s="1"/>
  <c r="I95" i="4"/>
  <c r="G105" i="6" s="1" a="1"/>
  <c r="G105" i="6" s="1"/>
  <c r="H105" i="6" s="1"/>
  <c r="J95" i="4"/>
  <c r="A103" i="4"/>
  <c r="A104" i="4"/>
  <c r="J96" i="4"/>
  <c r="K96" i="4"/>
  <c r="A102" i="4"/>
  <c r="K93" i="4"/>
  <c r="J93" i="4"/>
  <c r="K94" i="4"/>
  <c r="J94" i="4"/>
  <c r="A106" i="4"/>
  <c r="A105" i="4"/>
  <c r="J92" i="4"/>
  <c r="K92" i="4"/>
  <c r="G99" i="4" l="1"/>
  <c r="J99" i="4" s="1"/>
  <c r="G101" i="4"/>
  <c r="K101" i="4" s="1"/>
  <c r="F102" i="4" a="1"/>
  <c r="F102" i="4" s="1"/>
  <c r="G102" i="4" s="1"/>
  <c r="D102" i="4"/>
  <c r="F104" i="4" a="1"/>
  <c r="F104" i="4" s="1"/>
  <c r="G104" i="4" s="1"/>
  <c r="D104" i="4"/>
  <c r="H97" i="4"/>
  <c r="E107" i="6" s="1" a="1"/>
  <c r="E107" i="6" s="1"/>
  <c r="F107" i="6" s="1"/>
  <c r="I97" i="4"/>
  <c r="G107" i="6" s="1" a="1"/>
  <c r="G107" i="6" s="1"/>
  <c r="H107" i="6" s="1"/>
  <c r="E97" i="4"/>
  <c r="L97" i="4" s="1"/>
  <c r="H99" i="4"/>
  <c r="E109" i="6" s="1" a="1"/>
  <c r="E109" i="6" s="1"/>
  <c r="F109" i="6" s="1"/>
  <c r="E99" i="4"/>
  <c r="L99" i="4" s="1"/>
  <c r="I99" i="4"/>
  <c r="G109" i="6" s="1" a="1"/>
  <c r="G109" i="6" s="1"/>
  <c r="H109" i="6" s="1"/>
  <c r="H100" i="4"/>
  <c r="E110" i="6" s="1" a="1"/>
  <c r="E110" i="6" s="1"/>
  <c r="F110" i="6" s="1"/>
  <c r="I100" i="4"/>
  <c r="G110" i="6" s="1" a="1"/>
  <c r="G110" i="6" s="1"/>
  <c r="H110" i="6" s="1"/>
  <c r="E100" i="4"/>
  <c r="L100" i="4" s="1"/>
  <c r="H101" i="4"/>
  <c r="E111" i="6" s="1" a="1"/>
  <c r="E111" i="6" s="1"/>
  <c r="F111" i="6" s="1"/>
  <c r="E101" i="4"/>
  <c r="L101" i="4" s="1"/>
  <c r="I101" i="4"/>
  <c r="G111" i="6" s="1" a="1"/>
  <c r="G111" i="6" s="1"/>
  <c r="H111" i="6" s="1"/>
  <c r="H98" i="4"/>
  <c r="E108" i="6" s="1" a="1"/>
  <c r="E108" i="6" s="1"/>
  <c r="F108" i="6" s="1"/>
  <c r="E98" i="4"/>
  <c r="L98" i="4" s="1"/>
  <c r="I98" i="4"/>
  <c r="G108" i="6" s="1" a="1"/>
  <c r="G108" i="6" s="1"/>
  <c r="H108" i="6" s="1"/>
  <c r="F105" i="4" a="1"/>
  <c r="F105" i="4" s="1"/>
  <c r="D105" i="4"/>
  <c r="F106" i="4" a="1"/>
  <c r="F106" i="4" s="1"/>
  <c r="D106" i="4"/>
  <c r="F103" i="4" a="1"/>
  <c r="F103" i="4" s="1"/>
  <c r="D103" i="4"/>
  <c r="K97" i="4"/>
  <c r="J97" i="4"/>
  <c r="A109" i="4"/>
  <c r="K100" i="4"/>
  <c r="J100" i="4"/>
  <c r="K98" i="4"/>
  <c r="J98" i="4"/>
  <c r="A111" i="4"/>
  <c r="A107" i="4"/>
  <c r="A110" i="4"/>
  <c r="A108" i="4"/>
  <c r="J101" i="4" l="1"/>
  <c r="K99" i="4"/>
  <c r="G105" i="4"/>
  <c r="J105" i="4" s="1"/>
  <c r="G103" i="4"/>
  <c r="J103" i="4" s="1"/>
  <c r="G106" i="4"/>
  <c r="K106" i="4" s="1"/>
  <c r="H104" i="4"/>
  <c r="E116" i="6" s="1" a="1"/>
  <c r="E116" i="6" s="1"/>
  <c r="F116" i="6" s="1"/>
  <c r="I104" i="4"/>
  <c r="G116" i="6" s="1" a="1"/>
  <c r="G116" i="6" s="1"/>
  <c r="H116" i="6" s="1"/>
  <c r="E104" i="4"/>
  <c r="L104" i="4" s="1"/>
  <c r="H102" i="4"/>
  <c r="E114" i="6" s="1" a="1"/>
  <c r="E114" i="6" s="1"/>
  <c r="F114" i="6" s="1"/>
  <c r="I102" i="4"/>
  <c r="G114" i="6" s="1" a="1"/>
  <c r="G114" i="6" s="1"/>
  <c r="H114" i="6" s="1"/>
  <c r="E102" i="4"/>
  <c r="L102" i="4" s="1"/>
  <c r="F108" i="4" a="1"/>
  <c r="F108" i="4" s="1"/>
  <c r="G108" i="4" s="1"/>
  <c r="D108" i="4"/>
  <c r="F110" i="4" a="1"/>
  <c r="F110" i="4" s="1"/>
  <c r="G110" i="4" s="1"/>
  <c r="J110" i="4" s="1"/>
  <c r="D110" i="4"/>
  <c r="F109" i="4" a="1"/>
  <c r="F109" i="4" s="1"/>
  <c r="G109" i="4" s="1"/>
  <c r="K109" i="4" s="1"/>
  <c r="D109" i="4"/>
  <c r="F107" i="4" a="1"/>
  <c r="F107" i="4" s="1"/>
  <c r="D107" i="4"/>
  <c r="F111" i="4" a="1"/>
  <c r="F111" i="4" s="1"/>
  <c r="G111" i="4" s="1"/>
  <c r="D111" i="4"/>
  <c r="H103" i="4"/>
  <c r="E115" i="6" s="1" a="1"/>
  <c r="E115" i="6" s="1"/>
  <c r="F115" i="6" s="1"/>
  <c r="I103" i="4"/>
  <c r="G115" i="6" s="1" a="1"/>
  <c r="G115" i="6" s="1"/>
  <c r="H115" i="6" s="1"/>
  <c r="E103" i="4"/>
  <c r="L103" i="4" s="1"/>
  <c r="H106" i="4"/>
  <c r="E118" i="6" s="1" a="1"/>
  <c r="E118" i="6" s="1"/>
  <c r="F118" i="6" s="1"/>
  <c r="I106" i="4"/>
  <c r="G118" i="6" s="1" a="1"/>
  <c r="G118" i="6" s="1"/>
  <c r="H118" i="6" s="1"/>
  <c r="E106" i="4"/>
  <c r="L106" i="4" s="1"/>
  <c r="H105" i="4"/>
  <c r="E117" i="6" s="1" a="1"/>
  <c r="E117" i="6" s="1"/>
  <c r="F117" i="6" s="1"/>
  <c r="I105" i="4"/>
  <c r="G117" i="6" s="1" a="1"/>
  <c r="G117" i="6" s="1"/>
  <c r="H117" i="6" s="1"/>
  <c r="E105" i="4"/>
  <c r="L105" i="4" s="1"/>
  <c r="A112" i="4"/>
  <c r="A116" i="4"/>
  <c r="A113" i="4"/>
  <c r="A115" i="4"/>
  <c r="K104" i="4"/>
  <c r="J104" i="4"/>
  <c r="K102" i="4"/>
  <c r="J102" i="4"/>
  <c r="A114" i="4"/>
  <c r="K105" i="4" l="1"/>
  <c r="K103" i="4"/>
  <c r="J106" i="4"/>
  <c r="G107" i="4"/>
  <c r="K107" i="4" s="1"/>
  <c r="F113" i="4" a="1"/>
  <c r="F113" i="4" s="1"/>
  <c r="G113" i="4" s="1"/>
  <c r="K113" i="4" s="1"/>
  <c r="D113" i="4"/>
  <c r="H111" i="4"/>
  <c r="E123" i="6" s="1" a="1"/>
  <c r="E123" i="6" s="1"/>
  <c r="F123" i="6" s="1"/>
  <c r="E111" i="4"/>
  <c r="L111" i="4" s="1"/>
  <c r="I111" i="4"/>
  <c r="G123" i="6" s="1" a="1"/>
  <c r="G123" i="6" s="1"/>
  <c r="H123" i="6" s="1"/>
  <c r="H107" i="4"/>
  <c r="E119" i="6" s="1" a="1"/>
  <c r="E119" i="6" s="1"/>
  <c r="F119" i="6" s="1"/>
  <c r="I107" i="4"/>
  <c r="G119" i="6" s="1" a="1"/>
  <c r="G119" i="6" s="1"/>
  <c r="H119" i="6" s="1"/>
  <c r="E107" i="4"/>
  <c r="L107" i="4" s="1"/>
  <c r="H109" i="4"/>
  <c r="E121" i="6" s="1" a="1"/>
  <c r="E121" i="6" s="1"/>
  <c r="F121" i="6" s="1"/>
  <c r="E109" i="4"/>
  <c r="L109" i="4" s="1"/>
  <c r="I109" i="4"/>
  <c r="G121" i="6" s="1" a="1"/>
  <c r="G121" i="6" s="1"/>
  <c r="H121" i="6" s="1"/>
  <c r="H110" i="4"/>
  <c r="E122" i="6" s="1" a="1"/>
  <c r="E122" i="6" s="1"/>
  <c r="F122" i="6" s="1"/>
  <c r="E110" i="4"/>
  <c r="L110" i="4" s="1"/>
  <c r="I110" i="4"/>
  <c r="G122" i="6" s="1" a="1"/>
  <c r="G122" i="6" s="1"/>
  <c r="H122" i="6" s="1"/>
  <c r="H108" i="4"/>
  <c r="E120" i="6" s="1" a="1"/>
  <c r="E120" i="6" s="1"/>
  <c r="F120" i="6" s="1"/>
  <c r="I108" i="4"/>
  <c r="G120" i="6" s="1" a="1"/>
  <c r="G120" i="6" s="1"/>
  <c r="H120" i="6" s="1"/>
  <c r="E108" i="4"/>
  <c r="L108" i="4" s="1"/>
  <c r="F114" i="4" a="1"/>
  <c r="F114" i="4" s="1"/>
  <c r="G114" i="4" s="1"/>
  <c r="J114" i="4" s="1"/>
  <c r="D114" i="4"/>
  <c r="F115" i="4" a="1"/>
  <c r="F115" i="4" s="1"/>
  <c r="G115" i="4" s="1"/>
  <c r="D115" i="4"/>
  <c r="F116" i="4" a="1"/>
  <c r="F116" i="4" s="1"/>
  <c r="G116" i="4" s="1"/>
  <c r="D116" i="4"/>
  <c r="F112" i="4" a="1"/>
  <c r="F112" i="4" s="1"/>
  <c r="G112" i="4" s="1"/>
  <c r="D112" i="4"/>
  <c r="K110" i="4"/>
  <c r="J109" i="4"/>
  <c r="A118" i="4"/>
  <c r="A117" i="4"/>
  <c r="A120" i="4"/>
  <c r="A119" i="4"/>
  <c r="J108" i="4"/>
  <c r="K108" i="4"/>
  <c r="A121" i="4"/>
  <c r="K111" i="4"/>
  <c r="J111" i="4"/>
  <c r="J107" i="4" l="1"/>
  <c r="H113" i="4"/>
  <c r="E125" i="6" s="1" a="1"/>
  <c r="E125" i="6" s="1"/>
  <c r="F125" i="6" s="1"/>
  <c r="I113" i="4"/>
  <c r="G125" i="6" s="1" a="1"/>
  <c r="G125" i="6" s="1"/>
  <c r="H125" i="6" s="1"/>
  <c r="E113" i="4"/>
  <c r="L113" i="4" s="1"/>
  <c r="F120" i="4" a="1"/>
  <c r="F120" i="4" s="1"/>
  <c r="G120" i="4" s="1"/>
  <c r="D120" i="4"/>
  <c r="F121" i="4" a="1"/>
  <c r="F121" i="4" s="1"/>
  <c r="G121" i="4" s="1"/>
  <c r="D121" i="4"/>
  <c r="F119" i="4" a="1"/>
  <c r="F119" i="4" s="1"/>
  <c r="G119" i="4" s="1"/>
  <c r="D119" i="4"/>
  <c r="F117" i="4" a="1"/>
  <c r="F117" i="4" s="1"/>
  <c r="D117" i="4"/>
  <c r="F118" i="4" a="1"/>
  <c r="F118" i="4" s="1"/>
  <c r="D118" i="4"/>
  <c r="H112" i="4"/>
  <c r="E124" i="6" s="1" a="1"/>
  <c r="E124" i="6" s="1"/>
  <c r="F124" i="6" s="1"/>
  <c r="I112" i="4"/>
  <c r="G124" i="6" s="1" a="1"/>
  <c r="G124" i="6" s="1"/>
  <c r="H124" i="6" s="1"/>
  <c r="E112" i="4"/>
  <c r="L112" i="4" s="1"/>
  <c r="H116" i="4"/>
  <c r="E128" i="6" s="1" a="1"/>
  <c r="E128" i="6" s="1"/>
  <c r="F128" i="6" s="1"/>
  <c r="I116" i="4"/>
  <c r="G128" i="6" s="1" a="1"/>
  <c r="G128" i="6" s="1"/>
  <c r="H128" i="6" s="1"/>
  <c r="E116" i="4"/>
  <c r="L116" i="4" s="1"/>
  <c r="H115" i="4"/>
  <c r="E127" i="6" s="1" a="1"/>
  <c r="E127" i="6" s="1"/>
  <c r="F127" i="6" s="1"/>
  <c r="E115" i="4"/>
  <c r="L115" i="4" s="1"/>
  <c r="I115" i="4"/>
  <c r="G127" i="6" s="1" a="1"/>
  <c r="G127" i="6" s="1"/>
  <c r="H127" i="6" s="1"/>
  <c r="H114" i="4"/>
  <c r="E126" i="6" s="1" a="1"/>
  <c r="E126" i="6" s="1"/>
  <c r="F126" i="6" s="1"/>
  <c r="E114" i="4"/>
  <c r="L114" i="4" s="1"/>
  <c r="I114" i="4"/>
  <c r="G126" i="6" s="1" a="1"/>
  <c r="G126" i="6" s="1"/>
  <c r="H126" i="6" s="1"/>
  <c r="J113" i="4"/>
  <c r="K114" i="4"/>
  <c r="J112" i="4"/>
  <c r="K112" i="4"/>
  <c r="A126" i="4"/>
  <c r="A125" i="4"/>
  <c r="A122" i="4"/>
  <c r="K116" i="4"/>
  <c r="J116" i="4"/>
  <c r="A124" i="4"/>
  <c r="A123" i="4"/>
  <c r="K115" i="4"/>
  <c r="J115" i="4"/>
  <c r="G118" i="4" l="1"/>
  <c r="K118" i="4" s="1"/>
  <c r="G117" i="4"/>
  <c r="K117" i="4" s="1"/>
  <c r="F124" i="4" a="1"/>
  <c r="F124" i="4" s="1"/>
  <c r="G124" i="4" s="1"/>
  <c r="D124" i="4"/>
  <c r="F122" i="4" a="1"/>
  <c r="F122" i="4" s="1"/>
  <c r="G122" i="4" s="1"/>
  <c r="J122" i="4" s="1"/>
  <c r="D122" i="4"/>
  <c r="F126" i="4" a="1"/>
  <c r="F126" i="4" s="1"/>
  <c r="G126" i="4" s="1"/>
  <c r="D126" i="4"/>
  <c r="F123" i="4" a="1"/>
  <c r="F123" i="4" s="1"/>
  <c r="G123" i="4" s="1"/>
  <c r="D123" i="4"/>
  <c r="F125" i="4" a="1"/>
  <c r="F125" i="4" s="1"/>
  <c r="G125" i="4" s="1"/>
  <c r="D125" i="4"/>
  <c r="H118" i="4"/>
  <c r="E130" i="6" s="1" a="1"/>
  <c r="E130" i="6" s="1"/>
  <c r="F130" i="6" s="1"/>
  <c r="I118" i="4"/>
  <c r="G130" i="6" s="1" a="1"/>
  <c r="G130" i="6" s="1"/>
  <c r="H130" i="6" s="1"/>
  <c r="E118" i="4"/>
  <c r="L118" i="4" s="1"/>
  <c r="H117" i="4"/>
  <c r="E129" i="6" s="1" a="1"/>
  <c r="E129" i="6" s="1"/>
  <c r="F129" i="6" s="1"/>
  <c r="E117" i="4"/>
  <c r="L117" i="4" s="1"/>
  <c r="I117" i="4"/>
  <c r="G129" i="6" s="1" a="1"/>
  <c r="G129" i="6" s="1"/>
  <c r="H129" i="6" s="1"/>
  <c r="H119" i="4"/>
  <c r="E131" i="6" s="1" a="1"/>
  <c r="E131" i="6" s="1"/>
  <c r="F131" i="6" s="1"/>
  <c r="I119" i="4"/>
  <c r="G131" i="6" s="1" a="1"/>
  <c r="G131" i="6" s="1"/>
  <c r="H131" i="6" s="1"/>
  <c r="E119" i="4"/>
  <c r="L119" i="4" s="1"/>
  <c r="H121" i="4"/>
  <c r="E133" i="6" s="1" a="1"/>
  <c r="E133" i="6" s="1"/>
  <c r="F133" i="6" s="1"/>
  <c r="I121" i="4"/>
  <c r="G133" i="6" s="1" a="1"/>
  <c r="G133" i="6" s="1"/>
  <c r="H133" i="6" s="1"/>
  <c r="E121" i="4"/>
  <c r="L121" i="4" s="1"/>
  <c r="H120" i="4"/>
  <c r="E132" i="6" s="1" a="1"/>
  <c r="E132" i="6" s="1"/>
  <c r="F132" i="6" s="1"/>
  <c r="I120" i="4"/>
  <c r="G132" i="6" s="1" a="1"/>
  <c r="G132" i="6" s="1"/>
  <c r="H132" i="6" s="1"/>
  <c r="E120" i="4"/>
  <c r="L120" i="4" s="1"/>
  <c r="A130" i="4"/>
  <c r="A128" i="4"/>
  <c r="A129" i="4"/>
  <c r="K120" i="4"/>
  <c r="J120" i="4"/>
  <c r="A131" i="4"/>
  <c r="A127" i="4"/>
  <c r="J121" i="4"/>
  <c r="K121" i="4"/>
  <c r="K119" i="4"/>
  <c r="J119" i="4"/>
  <c r="J117" i="4" l="1"/>
  <c r="J118" i="4"/>
  <c r="J123" i="4"/>
  <c r="K123" i="4"/>
  <c r="J125" i="4"/>
  <c r="K125" i="4"/>
  <c r="J126" i="4"/>
  <c r="K126" i="4"/>
  <c r="K124" i="4"/>
  <c r="J124" i="4"/>
  <c r="H123" i="4"/>
  <c r="E137" i="6" s="1" a="1"/>
  <c r="E137" i="6" s="1"/>
  <c r="F137" i="6" s="1"/>
  <c r="I123" i="4"/>
  <c r="G137" i="6" s="1" a="1"/>
  <c r="G137" i="6" s="1"/>
  <c r="H137" i="6" s="1"/>
  <c r="H126" i="4"/>
  <c r="E140" i="6" s="1" a="1"/>
  <c r="E140" i="6" s="1"/>
  <c r="F140" i="6" s="1"/>
  <c r="I126" i="4"/>
  <c r="G140" i="6" s="1" a="1"/>
  <c r="G140" i="6" s="1"/>
  <c r="H140" i="6" s="1"/>
  <c r="H124" i="4"/>
  <c r="E138" i="6" s="1" a="1"/>
  <c r="E138" i="6" s="1"/>
  <c r="F138" i="6" s="1"/>
  <c r="I124" i="4"/>
  <c r="G138" i="6" s="1" a="1"/>
  <c r="G138" i="6" s="1"/>
  <c r="H138" i="6" s="1"/>
  <c r="I125" i="4"/>
  <c r="G139" i="6" s="1" a="1"/>
  <c r="G139" i="6" s="1"/>
  <c r="H139" i="6" s="1"/>
  <c r="H125" i="4"/>
  <c r="E139" i="6" s="1" a="1"/>
  <c r="E139" i="6" s="1"/>
  <c r="F139" i="6" s="1"/>
  <c r="F127" i="4" a="1"/>
  <c r="F127" i="4" s="1"/>
  <c r="G127" i="4" s="1"/>
  <c r="D127" i="4"/>
  <c r="F129" i="4" a="1"/>
  <c r="F129" i="4" s="1"/>
  <c r="G129" i="4" s="1"/>
  <c r="D129" i="4"/>
  <c r="F130" i="4" a="1"/>
  <c r="F130" i="4" s="1"/>
  <c r="G130" i="4" s="1"/>
  <c r="D130" i="4"/>
  <c r="E125" i="4"/>
  <c r="L125" i="4" s="1"/>
  <c r="E123" i="4"/>
  <c r="L123" i="4" s="1"/>
  <c r="E126" i="4"/>
  <c r="L126" i="4" s="1"/>
  <c r="H122" i="4"/>
  <c r="E136" i="6" s="1" a="1"/>
  <c r="E136" i="6" s="1"/>
  <c r="F136" i="6" s="1"/>
  <c r="I122" i="4"/>
  <c r="G136" i="6" s="1" a="1"/>
  <c r="G136" i="6" s="1"/>
  <c r="H136" i="6" s="1"/>
  <c r="E122" i="4"/>
  <c r="L122" i="4" s="1"/>
  <c r="E124" i="4"/>
  <c r="L124" i="4" s="1"/>
  <c r="F131" i="4" a="1"/>
  <c r="F131" i="4" s="1"/>
  <c r="G131" i="4" s="1"/>
  <c r="D131" i="4"/>
  <c r="F128" i="4" a="1"/>
  <c r="F128" i="4" s="1"/>
  <c r="G128" i="4" s="1"/>
  <c r="D128" i="4"/>
  <c r="K122" i="4"/>
  <c r="A136" i="4"/>
  <c r="A132" i="4"/>
  <c r="A134" i="4"/>
  <c r="A133" i="4"/>
  <c r="A135" i="4"/>
  <c r="K128" i="4" l="1"/>
  <c r="J128" i="4"/>
  <c r="K130" i="4"/>
  <c r="J130" i="4"/>
  <c r="J129" i="4"/>
  <c r="K129" i="4"/>
  <c r="J131" i="4"/>
  <c r="K131" i="4"/>
  <c r="J127" i="4"/>
  <c r="K127" i="4"/>
  <c r="I128" i="4"/>
  <c r="G142" i="6" s="1" a="1"/>
  <c r="G142" i="6" s="1"/>
  <c r="H142" i="6" s="1"/>
  <c r="H128" i="4"/>
  <c r="E142" i="6" s="1" a="1"/>
  <c r="E142" i="6" s="1"/>
  <c r="F142" i="6" s="1"/>
  <c r="I129" i="4"/>
  <c r="G143" i="6" s="1" a="1"/>
  <c r="G143" i="6" s="1"/>
  <c r="H143" i="6" s="1"/>
  <c r="H129" i="4"/>
  <c r="E143" i="6" s="1" a="1"/>
  <c r="E143" i="6" s="1"/>
  <c r="F143" i="6" s="1"/>
  <c r="H131" i="4"/>
  <c r="I131" i="4"/>
  <c r="H130" i="4"/>
  <c r="E144" i="6" s="1" a="1"/>
  <c r="E144" i="6" s="1"/>
  <c r="F144" i="6" s="1"/>
  <c r="I130" i="4"/>
  <c r="G144" i="6" s="1" a="1"/>
  <c r="G144" i="6" s="1"/>
  <c r="H144" i="6" s="1"/>
  <c r="H127" i="4"/>
  <c r="E141" i="6" s="1" a="1"/>
  <c r="E141" i="6" s="1"/>
  <c r="F141" i="6" s="1"/>
  <c r="I127" i="4"/>
  <c r="G141" i="6" s="1" a="1"/>
  <c r="G141" i="6" s="1"/>
  <c r="H141" i="6" s="1"/>
  <c r="F133" i="4" a="1"/>
  <c r="F133" i="4" s="1"/>
  <c r="G133" i="4" s="1"/>
  <c r="D133" i="4"/>
  <c r="E130" i="4"/>
  <c r="L130" i="4" s="1"/>
  <c r="E129" i="4"/>
  <c r="L129" i="4" s="1"/>
  <c r="E127" i="4"/>
  <c r="L127" i="4" s="1"/>
  <c r="F132" i="4" a="1"/>
  <c r="F132" i="4" s="1"/>
  <c r="G132" i="4" s="1"/>
  <c r="D132" i="4"/>
  <c r="F135" i="4" a="1"/>
  <c r="F135" i="4" s="1"/>
  <c r="G135" i="4" s="1"/>
  <c r="D135" i="4"/>
  <c r="F134" i="4" a="1"/>
  <c r="F134" i="4" s="1"/>
  <c r="G134" i="4" s="1"/>
  <c r="D134" i="4"/>
  <c r="F136" i="4" a="1"/>
  <c r="F136" i="4" s="1"/>
  <c r="G136" i="4" s="1"/>
  <c r="D136" i="4"/>
  <c r="E128" i="4"/>
  <c r="L128" i="4" s="1"/>
  <c r="E131" i="4"/>
  <c r="L131" i="4" s="1"/>
  <c r="A139" i="4"/>
  <c r="A137" i="4"/>
  <c r="A138" i="4"/>
  <c r="A141" i="4"/>
  <c r="A140" i="4"/>
  <c r="J135" i="4" l="1"/>
  <c r="K135" i="4"/>
  <c r="K134" i="4"/>
  <c r="J134" i="4"/>
  <c r="J132" i="4"/>
  <c r="K132" i="4"/>
  <c r="J136" i="4"/>
  <c r="K136" i="4"/>
  <c r="J133" i="4"/>
  <c r="K133" i="4"/>
  <c r="I133" i="4"/>
  <c r="G147" i="6" s="1" a="1"/>
  <c r="G147" i="6" s="1"/>
  <c r="H147" i="6" s="1"/>
  <c r="H133" i="4"/>
  <c r="E147" i="6" s="1" a="1"/>
  <c r="E147" i="6" s="1"/>
  <c r="F147" i="6" s="1"/>
  <c r="H136" i="4"/>
  <c r="E150" i="6" s="1" a="1"/>
  <c r="E150" i="6" s="1"/>
  <c r="F150" i="6" s="1"/>
  <c r="I136" i="4"/>
  <c r="G150" i="6" s="1" a="1"/>
  <c r="G150" i="6" s="1"/>
  <c r="H150" i="6" s="1"/>
  <c r="H134" i="4"/>
  <c r="E148" i="6" s="1" a="1"/>
  <c r="E148" i="6" s="1"/>
  <c r="F148" i="6" s="1"/>
  <c r="I134" i="4"/>
  <c r="G148" i="6" s="1" a="1"/>
  <c r="G148" i="6" s="1"/>
  <c r="H148" i="6" s="1"/>
  <c r="I132" i="4"/>
  <c r="G146" i="6" s="1" a="1"/>
  <c r="G146" i="6" s="1"/>
  <c r="H146" i="6" s="1"/>
  <c r="H132" i="4"/>
  <c r="E146" i="6" s="1" a="1"/>
  <c r="E146" i="6" s="1"/>
  <c r="F146" i="6" s="1"/>
  <c r="H135" i="4"/>
  <c r="I135" i="4"/>
  <c r="E133" i="4"/>
  <c r="L133" i="4" s="1"/>
  <c r="F140" i="4" a="1"/>
  <c r="F140" i="4" s="1"/>
  <c r="G140" i="4" s="1"/>
  <c r="D140" i="4"/>
  <c r="F138" i="4" a="1"/>
  <c r="F138" i="4" s="1"/>
  <c r="G138" i="4" s="1"/>
  <c r="D138" i="4"/>
  <c r="F139" i="4" a="1"/>
  <c r="F139" i="4" s="1"/>
  <c r="G139" i="4" s="1"/>
  <c r="D139" i="4"/>
  <c r="F141" i="4" a="1"/>
  <c r="F141" i="4" s="1"/>
  <c r="G141" i="4" s="1"/>
  <c r="D141" i="4"/>
  <c r="F137" i="4" a="1"/>
  <c r="F137" i="4" s="1"/>
  <c r="G137" i="4" s="1"/>
  <c r="D137" i="4"/>
  <c r="E136" i="4"/>
  <c r="L136" i="4" s="1"/>
  <c r="E134" i="4"/>
  <c r="L134" i="4" s="1"/>
  <c r="E135" i="4"/>
  <c r="L135" i="4" s="1"/>
  <c r="E132" i="4"/>
  <c r="L132" i="4" s="1"/>
  <c r="A145" i="4"/>
  <c r="A146" i="4"/>
  <c r="A143" i="4"/>
  <c r="A142" i="4"/>
  <c r="A144" i="4"/>
  <c r="E145" i="6" a="1"/>
  <c r="E145" i="6" s="1"/>
  <c r="F145" i="6" s="1"/>
  <c r="G145" i="6" a="1"/>
  <c r="G145" i="6" s="1"/>
  <c r="H145" i="6" s="1"/>
  <c r="J139" i="4" l="1"/>
  <c r="K139" i="4"/>
  <c r="J140" i="4"/>
  <c r="K140" i="4"/>
  <c r="J137" i="4"/>
  <c r="K137" i="4"/>
  <c r="K141" i="4"/>
  <c r="J141" i="4"/>
  <c r="K138" i="4"/>
  <c r="J138" i="4"/>
  <c r="I137" i="4"/>
  <c r="G151" i="6" s="1" a="1"/>
  <c r="G151" i="6" s="1"/>
  <c r="H151" i="6" s="1"/>
  <c r="H137" i="4"/>
  <c r="E151" i="6" s="1" a="1"/>
  <c r="E151" i="6" s="1"/>
  <c r="F151" i="6" s="1"/>
  <c r="H139" i="4"/>
  <c r="I139" i="4"/>
  <c r="I140" i="4"/>
  <c r="G154" i="6" s="1" a="1"/>
  <c r="G154" i="6" s="1"/>
  <c r="H154" i="6" s="1"/>
  <c r="H140" i="4"/>
  <c r="E154" i="6" s="1" a="1"/>
  <c r="E154" i="6" s="1"/>
  <c r="F154" i="6" s="1"/>
  <c r="I141" i="4"/>
  <c r="H141" i="4"/>
  <c r="H138" i="4"/>
  <c r="E152" i="6" s="1" a="1"/>
  <c r="E152" i="6" s="1"/>
  <c r="F152" i="6" s="1"/>
  <c r="I138" i="4"/>
  <c r="G152" i="6" s="1" a="1"/>
  <c r="G152" i="6" s="1"/>
  <c r="H152" i="6" s="1"/>
  <c r="F144" i="4" a="1"/>
  <c r="F144" i="4" s="1"/>
  <c r="G144" i="4" s="1"/>
  <c r="D144" i="4"/>
  <c r="F143" i="4" a="1"/>
  <c r="F143" i="4" s="1"/>
  <c r="G143" i="4" s="1"/>
  <c r="D143" i="4"/>
  <c r="F145" i="4" a="1"/>
  <c r="F145" i="4" s="1"/>
  <c r="G145" i="4" s="1"/>
  <c r="D145" i="4"/>
  <c r="F142" i="4" a="1"/>
  <c r="F142" i="4" s="1"/>
  <c r="G142" i="4" s="1"/>
  <c r="D142" i="4"/>
  <c r="F146" i="4" a="1"/>
  <c r="F146" i="4" s="1"/>
  <c r="G146" i="4" s="1"/>
  <c r="D146" i="4"/>
  <c r="E137" i="4"/>
  <c r="L137" i="4" s="1"/>
  <c r="E141" i="4"/>
  <c r="L141" i="4" s="1"/>
  <c r="E139" i="4"/>
  <c r="L139" i="4" s="1"/>
  <c r="E138" i="4"/>
  <c r="L138" i="4" s="1"/>
  <c r="E140" i="4"/>
  <c r="L140" i="4" s="1"/>
  <c r="A149" i="4"/>
  <c r="A147" i="4"/>
  <c r="A151" i="4"/>
  <c r="A148" i="4"/>
  <c r="A150" i="4"/>
  <c r="G149" i="6" a="1"/>
  <c r="G149" i="6" s="1"/>
  <c r="H149" i="6" s="1"/>
  <c r="E149" i="6" a="1"/>
  <c r="E149" i="6" s="1"/>
  <c r="F149" i="6" s="1"/>
  <c r="J146" i="4" l="1"/>
  <c r="K146" i="4"/>
  <c r="J143" i="4"/>
  <c r="K143" i="4"/>
  <c r="J145" i="4"/>
  <c r="K145" i="4"/>
  <c r="J144" i="4"/>
  <c r="K144" i="4"/>
  <c r="I144" i="4"/>
  <c r="G160" i="6" s="1" a="1"/>
  <c r="G160" i="6" s="1"/>
  <c r="H160" i="6" s="1"/>
  <c r="H144" i="4"/>
  <c r="E160" i="6" s="1" a="1"/>
  <c r="E160" i="6" s="1"/>
  <c r="F160" i="6" s="1"/>
  <c r="I145" i="4"/>
  <c r="H145" i="4"/>
  <c r="H143" i="4"/>
  <c r="I143" i="4"/>
  <c r="H146" i="4"/>
  <c r="I146" i="4"/>
  <c r="F150" i="4" a="1"/>
  <c r="F150" i="4" s="1"/>
  <c r="G150" i="4" s="1"/>
  <c r="D150" i="4"/>
  <c r="F151" i="4" a="1"/>
  <c r="F151" i="4" s="1"/>
  <c r="G151" i="4" s="1"/>
  <c r="D151" i="4"/>
  <c r="F149" i="4" a="1"/>
  <c r="F149" i="4" s="1"/>
  <c r="G149" i="4" s="1"/>
  <c r="D149" i="4"/>
  <c r="E146" i="4"/>
  <c r="L146" i="4" s="1"/>
  <c r="H142" i="4"/>
  <c r="E158" i="6" s="1" a="1"/>
  <c r="E158" i="6" s="1"/>
  <c r="F158" i="6" s="1"/>
  <c r="E142" i="4"/>
  <c r="L142" i="4" s="1"/>
  <c r="I142" i="4"/>
  <c r="G158" i="6" s="1" a="1"/>
  <c r="G158" i="6" s="1"/>
  <c r="H158" i="6" s="1"/>
  <c r="E145" i="4"/>
  <c r="L145" i="4" s="1"/>
  <c r="E143" i="4"/>
  <c r="L143" i="4" s="1"/>
  <c r="E144" i="4"/>
  <c r="L144" i="4" s="1"/>
  <c r="F148" i="4" a="1"/>
  <c r="F148" i="4" s="1"/>
  <c r="G148" i="4" s="1"/>
  <c r="D148" i="4"/>
  <c r="F147" i="4" a="1"/>
  <c r="F147" i="4" s="1"/>
  <c r="G147" i="4" s="1"/>
  <c r="D147" i="4"/>
  <c r="A153" i="4"/>
  <c r="A156" i="4"/>
  <c r="A155" i="4"/>
  <c r="A154" i="4"/>
  <c r="A152" i="4"/>
  <c r="K142" i="4"/>
  <c r="J142" i="4"/>
  <c r="G155" i="6" a="1"/>
  <c r="G155" i="6" s="1"/>
  <c r="H155" i="6" s="1"/>
  <c r="E155" i="6" a="1"/>
  <c r="E155" i="6" s="1"/>
  <c r="F155" i="6" s="1"/>
  <c r="E153" i="6" a="1"/>
  <c r="E153" i="6" s="1"/>
  <c r="F153" i="6" s="1"/>
  <c r="G153" i="6" a="1"/>
  <c r="G153" i="6" s="1"/>
  <c r="H153" i="6" s="1"/>
  <c r="J148" i="4" l="1"/>
  <c r="K148" i="4"/>
  <c r="J151" i="4"/>
  <c r="K151" i="4"/>
  <c r="J147" i="4"/>
  <c r="K147" i="4"/>
  <c r="J149" i="4"/>
  <c r="K149" i="4"/>
  <c r="K150" i="4"/>
  <c r="J150" i="4"/>
  <c r="H151" i="4"/>
  <c r="I151" i="4"/>
  <c r="H147" i="4"/>
  <c r="I147" i="4"/>
  <c r="I149" i="4"/>
  <c r="H149" i="4"/>
  <c r="H150" i="4"/>
  <c r="I150" i="4"/>
  <c r="H148" i="4"/>
  <c r="I148" i="4"/>
  <c r="G164" i="6" s="1" a="1"/>
  <c r="G164" i="6" s="1"/>
  <c r="H164" i="6" s="1"/>
  <c r="F153" i="4" a="1"/>
  <c r="F153" i="4" s="1"/>
  <c r="G153" i="4" s="1"/>
  <c r="D153" i="4"/>
  <c r="E149" i="4"/>
  <c r="L149" i="4" s="1"/>
  <c r="E151" i="4"/>
  <c r="L151" i="4" s="1"/>
  <c r="E150" i="4"/>
  <c r="L150" i="4" s="1"/>
  <c r="F152" i="4" a="1"/>
  <c r="F152" i="4" s="1"/>
  <c r="G152" i="4" s="1"/>
  <c r="D152" i="4"/>
  <c r="F155" i="4" a="1"/>
  <c r="F155" i="4" s="1"/>
  <c r="G155" i="4" s="1"/>
  <c r="D155" i="4"/>
  <c r="F154" i="4" a="1"/>
  <c r="F154" i="4" s="1"/>
  <c r="G154" i="4" s="1"/>
  <c r="D154" i="4"/>
  <c r="F156" i="4" a="1"/>
  <c r="F156" i="4" s="1"/>
  <c r="G156" i="4" s="1"/>
  <c r="J156" i="4" s="1"/>
  <c r="D156" i="4"/>
  <c r="E147" i="4"/>
  <c r="L147" i="4" s="1"/>
  <c r="E164" i="6" a="1"/>
  <c r="E164" i="6" s="1"/>
  <c r="F164" i="6" s="1"/>
  <c r="E148" i="4"/>
  <c r="L148" i="4" s="1"/>
  <c r="A159" i="4"/>
  <c r="A160" i="4"/>
  <c r="A161" i="4"/>
  <c r="A158" i="4"/>
  <c r="A157" i="4"/>
  <c r="E162" i="6" a="1"/>
  <c r="E162" i="6" s="1"/>
  <c r="F162" i="6" s="1"/>
  <c r="G162" i="6" a="1"/>
  <c r="G162" i="6" s="1"/>
  <c r="H162" i="6" s="1"/>
  <c r="E161" i="6" a="1"/>
  <c r="E161" i="6" s="1"/>
  <c r="F161" i="6" s="1"/>
  <c r="G161" i="6" a="1"/>
  <c r="G161" i="6" s="1"/>
  <c r="H161" i="6" s="1"/>
  <c r="G159" i="6" a="1"/>
  <c r="G159" i="6" s="1"/>
  <c r="H159" i="6" s="1"/>
  <c r="E159" i="6" a="1"/>
  <c r="E159" i="6" s="1"/>
  <c r="F159" i="6" s="1"/>
  <c r="H153" i="4" l="1"/>
  <c r="I153" i="4"/>
  <c r="E153" i="4"/>
  <c r="L153" i="4" s="1"/>
  <c r="F158" i="4" a="1"/>
  <c r="F158" i="4" s="1"/>
  <c r="G158" i="4" s="1"/>
  <c r="D158" i="4"/>
  <c r="F161" i="4" a="1"/>
  <c r="F161" i="4" s="1"/>
  <c r="G161" i="4" s="1"/>
  <c r="D161" i="4"/>
  <c r="F159" i="4" a="1"/>
  <c r="F159" i="4" s="1"/>
  <c r="G159" i="4" s="1"/>
  <c r="D159" i="4"/>
  <c r="F157" i="4" a="1"/>
  <c r="F157" i="4" s="1"/>
  <c r="G157" i="4" s="1"/>
  <c r="D157" i="4"/>
  <c r="F160" i="4" a="1"/>
  <c r="F160" i="4" s="1"/>
  <c r="G160" i="4" s="1"/>
  <c r="K160" i="4" s="1"/>
  <c r="D160" i="4"/>
  <c r="H156" i="4"/>
  <c r="E172" i="6" s="1" a="1"/>
  <c r="E172" i="6" s="1"/>
  <c r="F172" i="6" s="1"/>
  <c r="I156" i="4"/>
  <c r="G172" i="6" s="1" a="1"/>
  <c r="G172" i="6" s="1"/>
  <c r="H172" i="6" s="1"/>
  <c r="E156" i="4"/>
  <c r="L156" i="4" s="1"/>
  <c r="H154" i="4"/>
  <c r="I154" i="4"/>
  <c r="E154" i="4"/>
  <c r="L154" i="4" s="1"/>
  <c r="H155" i="4"/>
  <c r="I155" i="4"/>
  <c r="E155" i="4"/>
  <c r="L155" i="4" s="1"/>
  <c r="H152" i="4"/>
  <c r="E168" i="6" s="1" a="1"/>
  <c r="E168" i="6" s="1"/>
  <c r="F168" i="6" s="1"/>
  <c r="I152" i="4"/>
  <c r="G168" i="6" s="1" a="1"/>
  <c r="G168" i="6" s="1"/>
  <c r="H168" i="6" s="1"/>
  <c r="E152" i="4"/>
  <c r="L152" i="4" s="1"/>
  <c r="K156" i="4"/>
  <c r="A163" i="4"/>
  <c r="A162" i="4"/>
  <c r="A164" i="4"/>
  <c r="J152" i="4"/>
  <c r="K152" i="4"/>
  <c r="A166" i="4"/>
  <c r="A165" i="4"/>
  <c r="E165" i="6" a="1"/>
  <c r="E165" i="6" s="1"/>
  <c r="F165" i="6" s="1"/>
  <c r="G165" i="6" a="1"/>
  <c r="G165" i="6" s="1"/>
  <c r="H165" i="6" s="1"/>
  <c r="E166" i="6" a="1"/>
  <c r="E166" i="6" s="1"/>
  <c r="F166" i="6" s="1"/>
  <c r="G166" i="6" a="1"/>
  <c r="G166" i="6" s="1"/>
  <c r="H166" i="6" s="1"/>
  <c r="E163" i="6" a="1"/>
  <c r="E163" i="6" s="1"/>
  <c r="F163" i="6" s="1"/>
  <c r="G163" i="6" a="1"/>
  <c r="G163" i="6" s="1"/>
  <c r="H163" i="6" s="1"/>
  <c r="F166" i="4" l="1" a="1"/>
  <c r="F166" i="4" s="1"/>
  <c r="G166" i="4" s="1"/>
  <c r="D166" i="4"/>
  <c r="F162" i="4" a="1"/>
  <c r="F162" i="4" s="1"/>
  <c r="G162" i="4" s="1"/>
  <c r="D162" i="4"/>
  <c r="F165" i="4" a="1"/>
  <c r="F165" i="4" s="1"/>
  <c r="G165" i="4" s="1"/>
  <c r="D165" i="4"/>
  <c r="F164" i="4" a="1"/>
  <c r="F164" i="4" s="1"/>
  <c r="G164" i="4" s="1"/>
  <c r="D164" i="4"/>
  <c r="F163" i="4" a="1"/>
  <c r="F163" i="4" s="1"/>
  <c r="G163" i="4" s="1"/>
  <c r="D163" i="4"/>
  <c r="H160" i="4"/>
  <c r="E176" i="6" s="1" a="1"/>
  <c r="E176" i="6" s="1"/>
  <c r="F176" i="6" s="1"/>
  <c r="I160" i="4"/>
  <c r="G176" i="6" s="1" a="1"/>
  <c r="G176" i="6" s="1"/>
  <c r="H176" i="6" s="1"/>
  <c r="E160" i="4"/>
  <c r="L160" i="4" s="1"/>
  <c r="H157" i="4"/>
  <c r="E157" i="4"/>
  <c r="L157" i="4" s="1"/>
  <c r="I157" i="4"/>
  <c r="H159" i="4"/>
  <c r="E159" i="4"/>
  <c r="L159" i="4" s="1"/>
  <c r="I159" i="4"/>
  <c r="H161" i="4"/>
  <c r="I161" i="4"/>
  <c r="E161" i="4"/>
  <c r="L161" i="4" s="1"/>
  <c r="H158" i="4"/>
  <c r="E158" i="4"/>
  <c r="L158" i="4" s="1"/>
  <c r="I158" i="4"/>
  <c r="J160" i="4"/>
  <c r="A167" i="4"/>
  <c r="A170" i="4"/>
  <c r="A168" i="4"/>
  <c r="A171" i="4"/>
  <c r="A169" i="4"/>
  <c r="E169" i="6" a="1"/>
  <c r="E169" i="6" s="1"/>
  <c r="F169" i="6" s="1"/>
  <c r="G169" i="6" a="1"/>
  <c r="G169" i="6" s="1"/>
  <c r="H169" i="6" s="1"/>
  <c r="E170" i="6" a="1"/>
  <c r="E170" i="6" s="1"/>
  <c r="F170" i="6" s="1"/>
  <c r="G170" i="6" a="1"/>
  <c r="G170" i="6" s="1"/>
  <c r="H170" i="6" s="1"/>
  <c r="J153" i="4"/>
  <c r="K153" i="4"/>
  <c r="K154" i="4"/>
  <c r="J154" i="4"/>
  <c r="E167" i="6" a="1"/>
  <c r="E167" i="6" s="1"/>
  <c r="F167" i="6" s="1"/>
  <c r="G167" i="6" a="1"/>
  <c r="G167" i="6" s="1"/>
  <c r="H167" i="6" s="1"/>
  <c r="F171" i="4" l="1" a="1"/>
  <c r="F171" i="4" s="1"/>
  <c r="G171" i="4" s="1"/>
  <c r="D171" i="4"/>
  <c r="F170" i="4" a="1"/>
  <c r="F170" i="4" s="1"/>
  <c r="G170" i="4" s="1"/>
  <c r="D170" i="4"/>
  <c r="H163" i="4"/>
  <c r="E181" i="6" s="1" a="1"/>
  <c r="E181" i="6" s="1"/>
  <c r="F181" i="6" s="1"/>
  <c r="E163" i="4"/>
  <c r="L163" i="4" s="1"/>
  <c r="I163" i="4"/>
  <c r="G181" i="6" s="1" a="1"/>
  <c r="G181" i="6" s="1"/>
  <c r="H181" i="6" s="1"/>
  <c r="H164" i="4"/>
  <c r="E182" i="6" s="1" a="1"/>
  <c r="E182" i="6" s="1"/>
  <c r="F182" i="6" s="1"/>
  <c r="I164" i="4"/>
  <c r="G182" i="6" s="1" a="1"/>
  <c r="G182" i="6" s="1"/>
  <c r="H182" i="6" s="1"/>
  <c r="E164" i="4"/>
  <c r="L164" i="4" s="1"/>
  <c r="H165" i="4"/>
  <c r="E183" i="6" s="1" a="1"/>
  <c r="E183" i="6" s="1"/>
  <c r="F183" i="6" s="1"/>
  <c r="I165" i="4"/>
  <c r="G183" i="6" s="1" a="1"/>
  <c r="G183" i="6" s="1"/>
  <c r="H183" i="6" s="1"/>
  <c r="E165" i="4"/>
  <c r="L165" i="4" s="1"/>
  <c r="H162" i="4"/>
  <c r="E162" i="4"/>
  <c r="L162" i="4" s="1"/>
  <c r="I162" i="4"/>
  <c r="H166" i="4"/>
  <c r="E184" i="6" s="1" a="1"/>
  <c r="E184" i="6" s="1"/>
  <c r="F184" i="6" s="1"/>
  <c r="I166" i="4"/>
  <c r="G184" i="6" s="1" a="1"/>
  <c r="G184" i="6" s="1"/>
  <c r="H184" i="6" s="1"/>
  <c r="E166" i="4"/>
  <c r="L166" i="4" s="1"/>
  <c r="F169" i="4" a="1"/>
  <c r="F169" i="4" s="1"/>
  <c r="G169" i="4" s="1"/>
  <c r="D169" i="4"/>
  <c r="F168" i="4" a="1"/>
  <c r="F168" i="4" s="1"/>
  <c r="G168" i="4" s="1"/>
  <c r="D168" i="4"/>
  <c r="F167" i="4" a="1"/>
  <c r="F167" i="4" s="1"/>
  <c r="G167" i="4" s="1"/>
  <c r="D167" i="4"/>
  <c r="J166" i="4"/>
  <c r="K166" i="4"/>
  <c r="K163" i="4"/>
  <c r="J163" i="4"/>
  <c r="A172" i="4"/>
  <c r="A173" i="4"/>
  <c r="K165" i="4"/>
  <c r="J165" i="4"/>
  <c r="A174" i="4"/>
  <c r="A175" i="4"/>
  <c r="K164" i="4"/>
  <c r="J164" i="4"/>
  <c r="A176" i="4"/>
  <c r="E174" i="6" a="1"/>
  <c r="E174" i="6" s="1"/>
  <c r="F174" i="6" s="1"/>
  <c r="G174" i="6" a="1"/>
  <c r="G174" i="6" s="1"/>
  <c r="H174" i="6" s="1"/>
  <c r="K157" i="4"/>
  <c r="J157" i="4"/>
  <c r="K158" i="4"/>
  <c r="J158" i="4"/>
  <c r="E173" i="6" a="1"/>
  <c r="E173" i="6" s="1"/>
  <c r="F173" i="6" s="1"/>
  <c r="G173" i="6" a="1"/>
  <c r="G173" i="6" s="1"/>
  <c r="H173" i="6" s="1"/>
  <c r="J155" i="4"/>
  <c r="K155" i="4"/>
  <c r="G171" i="6" a="1"/>
  <c r="G171" i="6" s="1"/>
  <c r="H171" i="6" s="1"/>
  <c r="E171" i="6" a="1"/>
  <c r="E171" i="6" s="1"/>
  <c r="F171" i="6" s="1"/>
  <c r="H170" i="4" l="1"/>
  <c r="E188" i="6" s="1" a="1"/>
  <c r="E188" i="6" s="1"/>
  <c r="F188" i="6" s="1"/>
  <c r="E170" i="4"/>
  <c r="L170" i="4" s="1"/>
  <c r="I170" i="4"/>
  <c r="G188" i="6" s="1" a="1"/>
  <c r="G188" i="6" s="1"/>
  <c r="H188" i="6" s="1"/>
  <c r="H171" i="4"/>
  <c r="E189" i="6" s="1" a="1"/>
  <c r="E189" i="6" s="1"/>
  <c r="F189" i="6" s="1"/>
  <c r="I171" i="4"/>
  <c r="G189" i="6" s="1" a="1"/>
  <c r="G189" i="6" s="1"/>
  <c r="H189" i="6" s="1"/>
  <c r="E171" i="4"/>
  <c r="L171" i="4" s="1"/>
  <c r="F176" i="4" a="1"/>
  <c r="F176" i="4" s="1"/>
  <c r="G176" i="4" s="1"/>
  <c r="D176" i="4"/>
  <c r="F174" i="4" a="1"/>
  <c r="F174" i="4" s="1"/>
  <c r="G174" i="4" s="1"/>
  <c r="D174" i="4"/>
  <c r="F172" i="4" a="1"/>
  <c r="F172" i="4" s="1"/>
  <c r="G172" i="4" s="1"/>
  <c r="D172" i="4"/>
  <c r="F175" i="4" a="1"/>
  <c r="F175" i="4" s="1"/>
  <c r="G175" i="4" s="1"/>
  <c r="D175" i="4"/>
  <c r="F173" i="4" a="1"/>
  <c r="F173" i="4" s="1"/>
  <c r="G173" i="4" s="1"/>
  <c r="D173" i="4"/>
  <c r="H167" i="4"/>
  <c r="E185" i="6" s="1" a="1"/>
  <c r="E185" i="6" s="1"/>
  <c r="F185" i="6" s="1"/>
  <c r="I167" i="4"/>
  <c r="G185" i="6" s="1" a="1"/>
  <c r="G185" i="6" s="1"/>
  <c r="H185" i="6" s="1"/>
  <c r="E167" i="4"/>
  <c r="L167" i="4" s="1"/>
  <c r="H168" i="4"/>
  <c r="E186" i="6" s="1" a="1"/>
  <c r="E186" i="6" s="1"/>
  <c r="F186" i="6" s="1"/>
  <c r="I168" i="4"/>
  <c r="G186" i="6" s="1" a="1"/>
  <c r="G186" i="6" s="1"/>
  <c r="H186" i="6" s="1"/>
  <c r="E168" i="4"/>
  <c r="L168" i="4" s="1"/>
  <c r="H169" i="4"/>
  <c r="E187" i="6" s="1" a="1"/>
  <c r="E187" i="6" s="1"/>
  <c r="F187" i="6" s="1"/>
  <c r="E169" i="4"/>
  <c r="L169" i="4" s="1"/>
  <c r="I169" i="4"/>
  <c r="G187" i="6" s="1" a="1"/>
  <c r="G187" i="6" s="1"/>
  <c r="H187" i="6" s="1"/>
  <c r="K171" i="4"/>
  <c r="J171" i="4"/>
  <c r="A180" i="4"/>
  <c r="K167" i="4"/>
  <c r="J167" i="4"/>
  <c r="A181" i="4"/>
  <c r="K168" i="4"/>
  <c r="J168" i="4"/>
  <c r="A179" i="4"/>
  <c r="A178" i="4"/>
  <c r="J170" i="4"/>
  <c r="K170" i="4"/>
  <c r="J169" i="4"/>
  <c r="K169" i="4"/>
  <c r="A177" i="4"/>
  <c r="E180" i="6" a="1"/>
  <c r="E180" i="6" s="1"/>
  <c r="F180" i="6" s="1"/>
  <c r="G180" i="6" a="1"/>
  <c r="G180" i="6" s="1"/>
  <c r="H180" i="6" s="1"/>
  <c r="J162" i="4"/>
  <c r="K162" i="4"/>
  <c r="E177" i="6" a="1"/>
  <c r="E177" i="6" s="1"/>
  <c r="F177" i="6" s="1"/>
  <c r="G177" i="6" a="1"/>
  <c r="G177" i="6" s="1"/>
  <c r="H177" i="6" s="1"/>
  <c r="J161" i="4"/>
  <c r="K161" i="4"/>
  <c r="G175" i="6" a="1"/>
  <c r="G175" i="6" s="1"/>
  <c r="H175" i="6" s="1"/>
  <c r="E175" i="6" a="1"/>
  <c r="E175" i="6" s="1"/>
  <c r="F175" i="6" s="1"/>
  <c r="J159" i="4"/>
  <c r="K159" i="4"/>
  <c r="F177" i="4" l="1" a="1"/>
  <c r="F177" i="4" s="1"/>
  <c r="G177" i="4" s="1"/>
  <c r="D177" i="4"/>
  <c r="F179" i="4" a="1"/>
  <c r="F179" i="4" s="1"/>
  <c r="G179" i="4" s="1"/>
  <c r="D179" i="4"/>
  <c r="F180" i="4" a="1"/>
  <c r="F180" i="4" s="1"/>
  <c r="G180" i="4" s="1"/>
  <c r="D180" i="4"/>
  <c r="H173" i="4"/>
  <c r="E191" i="6" s="1" a="1"/>
  <c r="E191" i="6" s="1"/>
  <c r="F191" i="6" s="1"/>
  <c r="I173" i="4"/>
  <c r="G191" i="6" s="1" a="1"/>
  <c r="G191" i="6" s="1"/>
  <c r="H191" i="6" s="1"/>
  <c r="E173" i="4"/>
  <c r="L173" i="4" s="1"/>
  <c r="H175" i="4"/>
  <c r="E193" i="6" s="1" a="1"/>
  <c r="E193" i="6" s="1"/>
  <c r="F193" i="6" s="1"/>
  <c r="E175" i="4"/>
  <c r="L175" i="4" s="1"/>
  <c r="I175" i="4"/>
  <c r="G193" i="6" s="1" a="1"/>
  <c r="G193" i="6" s="1"/>
  <c r="H193" i="6" s="1"/>
  <c r="H172" i="4"/>
  <c r="E190" i="6" s="1" a="1"/>
  <c r="E190" i="6" s="1"/>
  <c r="F190" i="6" s="1"/>
  <c r="I172" i="4"/>
  <c r="G190" i="6" s="1" a="1"/>
  <c r="G190" i="6" s="1"/>
  <c r="H190" i="6" s="1"/>
  <c r="E172" i="4"/>
  <c r="L172" i="4" s="1"/>
  <c r="H174" i="4"/>
  <c r="E192" i="6" s="1" a="1"/>
  <c r="E192" i="6" s="1"/>
  <c r="F192" i="6" s="1"/>
  <c r="I174" i="4"/>
  <c r="G192" i="6" s="1" a="1"/>
  <c r="G192" i="6" s="1"/>
  <c r="H192" i="6" s="1"/>
  <c r="E174" i="4"/>
  <c r="L174" i="4" s="1"/>
  <c r="H176" i="4"/>
  <c r="E194" i="6" s="1" a="1"/>
  <c r="E194" i="6" s="1"/>
  <c r="F194" i="6" s="1"/>
  <c r="I176" i="4"/>
  <c r="G194" i="6" s="1" a="1"/>
  <c r="G194" i="6" s="1"/>
  <c r="H194" i="6" s="1"/>
  <c r="E176" i="4"/>
  <c r="L176" i="4" s="1"/>
  <c r="F178" i="4" a="1"/>
  <c r="F178" i="4" s="1"/>
  <c r="G178" i="4" s="1"/>
  <c r="D178" i="4"/>
  <c r="F181" i="4" a="1"/>
  <c r="F181" i="4" s="1"/>
  <c r="G181" i="4" s="1"/>
  <c r="D181" i="4"/>
  <c r="K174" i="4"/>
  <c r="J174" i="4"/>
  <c r="J176" i="4"/>
  <c r="K176" i="4"/>
  <c r="K173" i="4"/>
  <c r="J173" i="4"/>
  <c r="A186" i="4"/>
  <c r="J175" i="4"/>
  <c r="K175" i="4"/>
  <c r="J172" i="4"/>
  <c r="K172" i="4"/>
  <c r="A185" i="4"/>
  <c r="A182" i="4"/>
  <c r="A183" i="4"/>
  <c r="A184" i="4"/>
  <c r="H180" i="4" l="1"/>
  <c r="E198" i="6" s="1" a="1"/>
  <c r="E198" i="6" s="1"/>
  <c r="F198" i="6" s="1"/>
  <c r="I180" i="4"/>
  <c r="G198" i="6" s="1" a="1"/>
  <c r="G198" i="6" s="1"/>
  <c r="H198" i="6" s="1"/>
  <c r="E180" i="4"/>
  <c r="L180" i="4" s="1"/>
  <c r="H179" i="4"/>
  <c r="E197" i="6" s="1" a="1"/>
  <c r="E197" i="6" s="1"/>
  <c r="F197" i="6" s="1"/>
  <c r="I179" i="4"/>
  <c r="G197" i="6" s="1" a="1"/>
  <c r="G197" i="6" s="1"/>
  <c r="H197" i="6" s="1"/>
  <c r="E179" i="4"/>
  <c r="L179" i="4" s="1"/>
  <c r="H177" i="4"/>
  <c r="E195" i="6" s="1" a="1"/>
  <c r="E195" i="6" s="1"/>
  <c r="F195" i="6" s="1"/>
  <c r="I177" i="4"/>
  <c r="G195" i="6" s="1" a="1"/>
  <c r="G195" i="6" s="1"/>
  <c r="H195" i="6" s="1"/>
  <c r="E177" i="4"/>
  <c r="L177" i="4" s="1"/>
  <c r="F184" i="4" a="1"/>
  <c r="F184" i="4" s="1"/>
  <c r="G184" i="4" s="1"/>
  <c r="D184" i="4"/>
  <c r="F182" i="4" a="1"/>
  <c r="F182" i="4" s="1"/>
  <c r="G182" i="4" s="1"/>
  <c r="D182" i="4"/>
  <c r="F186" i="4" a="1"/>
  <c r="F186" i="4" s="1"/>
  <c r="G186" i="4" s="1"/>
  <c r="D186" i="4"/>
  <c r="F183" i="4" a="1"/>
  <c r="F183" i="4" s="1"/>
  <c r="G183" i="4" s="1"/>
  <c r="D183" i="4"/>
  <c r="F185" i="4" a="1"/>
  <c r="F185" i="4" s="1"/>
  <c r="G185" i="4" s="1"/>
  <c r="D185" i="4"/>
  <c r="H181" i="4"/>
  <c r="E199" i="6" s="1" a="1"/>
  <c r="E199" i="6" s="1"/>
  <c r="F199" i="6" s="1"/>
  <c r="I181" i="4"/>
  <c r="G199" i="6" s="1" a="1"/>
  <c r="G199" i="6" s="1"/>
  <c r="H199" i="6" s="1"/>
  <c r="E181" i="4"/>
  <c r="L181" i="4" s="1"/>
  <c r="H178" i="4"/>
  <c r="E196" i="6" s="1" a="1"/>
  <c r="E196" i="6" s="1"/>
  <c r="F196" i="6" s="1"/>
  <c r="I178" i="4"/>
  <c r="G196" i="6" s="1" a="1"/>
  <c r="G196" i="6" s="1"/>
  <c r="H196" i="6" s="1"/>
  <c r="E178" i="4"/>
  <c r="L178" i="4" s="1"/>
  <c r="A189" i="4"/>
  <c r="K177" i="4"/>
  <c r="J177" i="4"/>
  <c r="A190" i="4"/>
  <c r="K181" i="4"/>
  <c r="J181" i="4"/>
  <c r="A188" i="4"/>
  <c r="J179" i="4"/>
  <c r="K179" i="4"/>
  <c r="K178" i="4"/>
  <c r="J178" i="4"/>
  <c r="A187" i="4"/>
  <c r="J180" i="4"/>
  <c r="K180" i="4"/>
  <c r="A191" i="4"/>
  <c r="F189" i="4" l="1" a="1"/>
  <c r="F189" i="4" s="1"/>
  <c r="G189" i="4" s="1"/>
  <c r="D189" i="4"/>
  <c r="F191" i="4" a="1"/>
  <c r="F191" i="4" s="1"/>
  <c r="G191" i="4" s="1"/>
  <c r="D191" i="4"/>
  <c r="F188" i="4" a="1"/>
  <c r="F188" i="4" s="1"/>
  <c r="G188" i="4" s="1"/>
  <c r="D188" i="4"/>
  <c r="F187" i="4" a="1"/>
  <c r="F187" i="4" s="1"/>
  <c r="G187" i="4" s="1"/>
  <c r="D187" i="4"/>
  <c r="F190" i="4" a="1"/>
  <c r="F190" i="4" s="1"/>
  <c r="G190" i="4" s="1"/>
  <c r="D190" i="4"/>
  <c r="H185" i="4"/>
  <c r="E205" i="6" s="1" a="1"/>
  <c r="E205" i="6" s="1"/>
  <c r="F205" i="6" s="1"/>
  <c r="I185" i="4"/>
  <c r="G205" i="6" s="1" a="1"/>
  <c r="G205" i="6" s="1"/>
  <c r="H205" i="6" s="1"/>
  <c r="E185" i="4"/>
  <c r="L185" i="4" s="1"/>
  <c r="H183" i="4"/>
  <c r="E203" i="6" s="1" a="1"/>
  <c r="E203" i="6" s="1"/>
  <c r="F203" i="6" s="1"/>
  <c r="E183" i="4"/>
  <c r="L183" i="4" s="1"/>
  <c r="I183" i="4"/>
  <c r="G203" i="6" s="1" a="1"/>
  <c r="G203" i="6" s="1"/>
  <c r="H203" i="6" s="1"/>
  <c r="H186" i="4"/>
  <c r="E206" i="6" s="1" a="1"/>
  <c r="E206" i="6" s="1"/>
  <c r="F206" i="6" s="1"/>
  <c r="E186" i="4"/>
  <c r="L186" i="4" s="1"/>
  <c r="I186" i="4"/>
  <c r="G206" i="6" s="1" a="1"/>
  <c r="G206" i="6" s="1"/>
  <c r="H206" i="6" s="1"/>
  <c r="H182" i="4"/>
  <c r="E202" i="6" s="1" a="1"/>
  <c r="E202" i="6" s="1"/>
  <c r="F202" i="6" s="1"/>
  <c r="E182" i="4"/>
  <c r="L182" i="4" s="1"/>
  <c r="I182" i="4"/>
  <c r="G202" i="6" s="1" a="1"/>
  <c r="G202" i="6" s="1"/>
  <c r="H202" i="6" s="1"/>
  <c r="H184" i="4"/>
  <c r="E204" i="6" s="1" a="1"/>
  <c r="E204" i="6" s="1"/>
  <c r="F204" i="6" s="1"/>
  <c r="I184" i="4"/>
  <c r="G204" i="6" s="1" a="1"/>
  <c r="G204" i="6" s="1"/>
  <c r="H204" i="6" s="1"/>
  <c r="E184" i="4"/>
  <c r="L184" i="4" s="1"/>
  <c r="K185" i="4"/>
  <c r="J185" i="4"/>
  <c r="J183" i="4"/>
  <c r="K183" i="4"/>
  <c r="A195" i="4"/>
  <c r="K186" i="4"/>
  <c r="J186" i="4"/>
  <c r="K182" i="4"/>
  <c r="J182" i="4"/>
  <c r="A193" i="4"/>
  <c r="K184" i="4"/>
  <c r="J184" i="4"/>
  <c r="A196" i="4"/>
  <c r="A192" i="4"/>
  <c r="A194" i="4"/>
  <c r="F192" i="4" l="1" a="1"/>
  <c r="F192" i="4" s="1"/>
  <c r="G192" i="4" s="1"/>
  <c r="D192" i="4"/>
  <c r="F193" i="4" a="1"/>
  <c r="F193" i="4" s="1"/>
  <c r="G193" i="4" s="1"/>
  <c r="D193" i="4"/>
  <c r="F194" i="4" a="1"/>
  <c r="F194" i="4" s="1"/>
  <c r="G194" i="4" s="1"/>
  <c r="D194" i="4"/>
  <c r="F196" i="4" a="1"/>
  <c r="F196" i="4" s="1"/>
  <c r="G196" i="4" s="1"/>
  <c r="D196" i="4"/>
  <c r="F195" i="4" a="1"/>
  <c r="F195" i="4" s="1"/>
  <c r="G195" i="4" s="1"/>
  <c r="D195" i="4"/>
  <c r="H190" i="4"/>
  <c r="E210" i="6" s="1" a="1"/>
  <c r="E210" i="6" s="1"/>
  <c r="F210" i="6" s="1"/>
  <c r="I190" i="4"/>
  <c r="G210" i="6" s="1" a="1"/>
  <c r="G210" i="6" s="1"/>
  <c r="H210" i="6" s="1"/>
  <c r="E190" i="4"/>
  <c r="L190" i="4" s="1"/>
  <c r="H187" i="4"/>
  <c r="E207" i="6" s="1" a="1"/>
  <c r="E207" i="6" s="1"/>
  <c r="F207" i="6" s="1"/>
  <c r="E187" i="4"/>
  <c r="L187" i="4" s="1"/>
  <c r="I187" i="4"/>
  <c r="G207" i="6" s="1" a="1"/>
  <c r="G207" i="6" s="1"/>
  <c r="H207" i="6" s="1"/>
  <c r="H188" i="4"/>
  <c r="E208" i="6" s="1" a="1"/>
  <c r="E208" i="6" s="1"/>
  <c r="F208" i="6" s="1"/>
  <c r="I188" i="4"/>
  <c r="G208" i="6" s="1" a="1"/>
  <c r="G208" i="6" s="1"/>
  <c r="H208" i="6" s="1"/>
  <c r="E188" i="4"/>
  <c r="L188" i="4" s="1"/>
  <c r="H191" i="4"/>
  <c r="E211" i="6" s="1" a="1"/>
  <c r="E211" i="6" s="1"/>
  <c r="F211" i="6" s="1"/>
  <c r="I191" i="4"/>
  <c r="G211" i="6" s="1" a="1"/>
  <c r="G211" i="6" s="1"/>
  <c r="H211" i="6" s="1"/>
  <c r="E191" i="4"/>
  <c r="L191" i="4" s="1"/>
  <c r="H189" i="4"/>
  <c r="E209" i="6" s="1" a="1"/>
  <c r="E209" i="6" s="1"/>
  <c r="F209" i="6" s="1"/>
  <c r="E189" i="4"/>
  <c r="L189" i="4" s="1"/>
  <c r="I189" i="4"/>
  <c r="G209" i="6" s="1" a="1"/>
  <c r="G209" i="6" s="1"/>
  <c r="H209" i="6" s="1"/>
  <c r="A197" i="4"/>
  <c r="J191" i="4"/>
  <c r="K191" i="4"/>
  <c r="A198" i="4"/>
  <c r="J188" i="4"/>
  <c r="K188" i="4"/>
  <c r="J187" i="4"/>
  <c r="K187" i="4"/>
  <c r="A199" i="4"/>
  <c r="J190" i="4"/>
  <c r="K190" i="4"/>
  <c r="J189" i="4"/>
  <c r="K189" i="4"/>
  <c r="A201" i="4"/>
  <c r="A200" i="4"/>
  <c r="F201" i="4" l="1" a="1"/>
  <c r="F201" i="4" s="1"/>
  <c r="G201" i="4" s="1"/>
  <c r="D201" i="4"/>
  <c r="F200" i="4" a="1"/>
  <c r="F200" i="4" s="1"/>
  <c r="G200" i="4" s="1"/>
  <c r="D200" i="4"/>
  <c r="F199" i="4" a="1"/>
  <c r="F199" i="4" s="1"/>
  <c r="G199" i="4" s="1"/>
  <c r="D199" i="4"/>
  <c r="F197" i="4" a="1"/>
  <c r="F197" i="4" s="1"/>
  <c r="G197" i="4" s="1"/>
  <c r="D197" i="4"/>
  <c r="H195" i="4"/>
  <c r="E215" i="6" s="1" a="1"/>
  <c r="E215" i="6" s="1"/>
  <c r="F215" i="6" s="1"/>
  <c r="I195" i="4"/>
  <c r="G215" i="6" s="1" a="1"/>
  <c r="G215" i="6" s="1"/>
  <c r="H215" i="6" s="1"/>
  <c r="E195" i="4"/>
  <c r="L195" i="4" s="1"/>
  <c r="H196" i="4"/>
  <c r="E216" i="6" s="1" a="1"/>
  <c r="E216" i="6" s="1"/>
  <c r="F216" i="6" s="1"/>
  <c r="I196" i="4"/>
  <c r="G216" i="6" s="1" a="1"/>
  <c r="G216" i="6" s="1"/>
  <c r="H216" i="6" s="1"/>
  <c r="E196" i="4"/>
  <c r="L196" i="4" s="1"/>
  <c r="H194" i="4"/>
  <c r="E214" i="6" s="1" a="1"/>
  <c r="E214" i="6" s="1"/>
  <c r="F214" i="6" s="1"/>
  <c r="I194" i="4"/>
  <c r="E194" i="4"/>
  <c r="L194" i="4" s="1"/>
  <c r="H193" i="4"/>
  <c r="E213" i="6" s="1" a="1"/>
  <c r="E213" i="6" s="1"/>
  <c r="F213" i="6" s="1"/>
  <c r="I193" i="4"/>
  <c r="G213" i="6" s="1" a="1"/>
  <c r="G213" i="6" s="1"/>
  <c r="H213" i="6" s="1"/>
  <c r="E193" i="4"/>
  <c r="L193" i="4" s="1"/>
  <c r="H192" i="4"/>
  <c r="E212" i="6" s="1" a="1"/>
  <c r="E212" i="6" s="1"/>
  <c r="F212" i="6" s="1"/>
  <c r="I192" i="4"/>
  <c r="G212" i="6" s="1" a="1"/>
  <c r="G212" i="6" s="1"/>
  <c r="H212" i="6" s="1"/>
  <c r="E192" i="4"/>
  <c r="L192" i="4" s="1"/>
  <c r="F198" i="4" a="1"/>
  <c r="F198" i="4" s="1"/>
  <c r="G198" i="4" s="1"/>
  <c r="D198" i="4"/>
  <c r="K195" i="4"/>
  <c r="J195" i="4"/>
  <c r="J196" i="4"/>
  <c r="K196" i="4"/>
  <c r="A203" i="4"/>
  <c r="A202" i="4"/>
  <c r="G214" i="6" a="1"/>
  <c r="G214" i="6" s="1"/>
  <c r="H214" i="6" s="1"/>
  <c r="A205" i="4"/>
  <c r="A204" i="4"/>
  <c r="K194" i="4"/>
  <c r="J194" i="4"/>
  <c r="A206" i="4"/>
  <c r="J193" i="4"/>
  <c r="K193" i="4"/>
  <c r="J192" i="4"/>
  <c r="K192" i="4"/>
  <c r="F205" i="4" l="1" a="1"/>
  <c r="F205" i="4" s="1"/>
  <c r="G205" i="4" s="1"/>
  <c r="D205" i="4"/>
  <c r="F203" i="4" a="1"/>
  <c r="F203" i="4" s="1"/>
  <c r="G203" i="4" s="1"/>
  <c r="D203" i="4"/>
  <c r="H197" i="4"/>
  <c r="E217" i="6" s="1" a="1"/>
  <c r="E217" i="6" s="1"/>
  <c r="F217" i="6" s="1"/>
  <c r="I197" i="4"/>
  <c r="G217" i="6" s="1" a="1"/>
  <c r="G217" i="6" s="1"/>
  <c r="H217" i="6" s="1"/>
  <c r="E197" i="4"/>
  <c r="L197" i="4" s="1"/>
  <c r="H199" i="4"/>
  <c r="E219" i="6" s="1" a="1"/>
  <c r="E219" i="6" s="1"/>
  <c r="F219" i="6" s="1"/>
  <c r="E199" i="4"/>
  <c r="L199" i="4" s="1"/>
  <c r="I199" i="4"/>
  <c r="G219" i="6" s="1" a="1"/>
  <c r="G219" i="6" s="1"/>
  <c r="H219" i="6" s="1"/>
  <c r="H200" i="4"/>
  <c r="E220" i="6" s="1" a="1"/>
  <c r="E220" i="6" s="1"/>
  <c r="F220" i="6" s="1"/>
  <c r="I200" i="4"/>
  <c r="E200" i="4"/>
  <c r="L200" i="4" s="1"/>
  <c r="H201" i="4"/>
  <c r="E221" i="6" s="1" a="1"/>
  <c r="E221" i="6" s="1"/>
  <c r="F221" i="6" s="1"/>
  <c r="I201" i="4"/>
  <c r="G221" i="6" s="1" a="1"/>
  <c r="G221" i="6" s="1"/>
  <c r="H221" i="6" s="1"/>
  <c r="E201" i="4"/>
  <c r="L201" i="4" s="1"/>
  <c r="F206" i="4" a="1"/>
  <c r="F206" i="4" s="1"/>
  <c r="G206" i="4" s="1"/>
  <c r="D206" i="4"/>
  <c r="F204" i="4" a="1"/>
  <c r="F204" i="4" s="1"/>
  <c r="G204" i="4" s="1"/>
  <c r="D204" i="4"/>
  <c r="F202" i="4" a="1"/>
  <c r="F202" i="4" s="1"/>
  <c r="G202" i="4" s="1"/>
  <c r="D202" i="4"/>
  <c r="H198" i="4"/>
  <c r="E218" i="6" s="1" a="1"/>
  <c r="E218" i="6" s="1"/>
  <c r="F218" i="6" s="1"/>
  <c r="E198" i="4"/>
  <c r="L198" i="4" s="1"/>
  <c r="I198" i="4"/>
  <c r="G218" i="6" s="1" a="1"/>
  <c r="G218" i="6" s="1"/>
  <c r="H218" i="6" s="1"/>
  <c r="A211" i="4"/>
  <c r="A209" i="4"/>
  <c r="G220" i="6" a="1"/>
  <c r="G220" i="6" s="1"/>
  <c r="H220" i="6" s="1"/>
  <c r="A207" i="4"/>
  <c r="A208" i="4"/>
  <c r="K200" i="4"/>
  <c r="J200" i="4"/>
  <c r="J199" i="4"/>
  <c r="K199" i="4"/>
  <c r="A210" i="4"/>
  <c r="K201" i="4"/>
  <c r="J201" i="4"/>
  <c r="J197" i="4"/>
  <c r="K197" i="4"/>
  <c r="J198" i="4"/>
  <c r="K198" i="4"/>
  <c r="F210" i="4" l="1" a="1"/>
  <c r="F210" i="4" s="1"/>
  <c r="G210" i="4" s="1"/>
  <c r="D210" i="4"/>
  <c r="F207" i="4" a="1"/>
  <c r="F207" i="4" s="1"/>
  <c r="G207" i="4" s="1"/>
  <c r="D207" i="4"/>
  <c r="F211" i="4" a="1"/>
  <c r="F211" i="4" s="1"/>
  <c r="G211" i="4" s="1"/>
  <c r="D211" i="4"/>
  <c r="H202" i="4"/>
  <c r="E224" i="6" s="1" a="1"/>
  <c r="E224" i="6" s="1"/>
  <c r="F224" i="6" s="1"/>
  <c r="E202" i="4"/>
  <c r="L202" i="4" s="1"/>
  <c r="I202" i="4"/>
  <c r="G224" i="6" s="1" a="1"/>
  <c r="G224" i="6" s="1"/>
  <c r="H224" i="6" s="1"/>
  <c r="H204" i="4"/>
  <c r="E226" i="6" s="1" a="1"/>
  <c r="E226" i="6" s="1"/>
  <c r="F226" i="6" s="1"/>
  <c r="I204" i="4"/>
  <c r="G226" i="6" s="1" a="1"/>
  <c r="G226" i="6" s="1"/>
  <c r="H226" i="6" s="1"/>
  <c r="E204" i="4"/>
  <c r="L204" i="4" s="1"/>
  <c r="H206" i="4"/>
  <c r="E228" i="6" s="1" a="1"/>
  <c r="E228" i="6" s="1"/>
  <c r="F228" i="6" s="1"/>
  <c r="I206" i="4"/>
  <c r="G228" i="6" s="1" a="1"/>
  <c r="G228" i="6" s="1"/>
  <c r="H228" i="6" s="1"/>
  <c r="E206" i="4"/>
  <c r="L206" i="4" s="1"/>
  <c r="H203" i="4"/>
  <c r="E225" i="6" s="1" a="1"/>
  <c r="E225" i="6" s="1"/>
  <c r="F225" i="6" s="1"/>
  <c r="E203" i="4"/>
  <c r="L203" i="4" s="1"/>
  <c r="I203" i="4"/>
  <c r="G225" i="6" s="1" a="1"/>
  <c r="G225" i="6" s="1"/>
  <c r="H225" i="6" s="1"/>
  <c r="H205" i="4"/>
  <c r="E227" i="6" s="1" a="1"/>
  <c r="E227" i="6" s="1"/>
  <c r="F227" i="6" s="1"/>
  <c r="E205" i="4"/>
  <c r="L205" i="4" s="1"/>
  <c r="I205" i="4"/>
  <c r="G227" i="6" s="1" a="1"/>
  <c r="G227" i="6" s="1"/>
  <c r="H227" i="6" s="1"/>
  <c r="F208" i="4" a="1"/>
  <c r="F208" i="4" s="1"/>
  <c r="G208" i="4" s="1"/>
  <c r="D208" i="4"/>
  <c r="F209" i="4" a="1"/>
  <c r="F209" i="4" s="1"/>
  <c r="G209" i="4" s="1"/>
  <c r="D209" i="4"/>
  <c r="J205" i="4"/>
  <c r="K205" i="4"/>
  <c r="K204" i="4"/>
  <c r="J204" i="4"/>
  <c r="A215" i="4"/>
  <c r="J206" i="4"/>
  <c r="K206" i="4"/>
  <c r="A213" i="4"/>
  <c r="A212" i="4"/>
  <c r="A216" i="4"/>
  <c r="K203" i="4"/>
  <c r="J203" i="4"/>
  <c r="K202" i="4"/>
  <c r="J202" i="4"/>
  <c r="A214" i="4"/>
  <c r="H211" i="4" l="1"/>
  <c r="E233" i="6" s="1" a="1"/>
  <c r="E233" i="6" s="1"/>
  <c r="F233" i="6" s="1"/>
  <c r="I211" i="4"/>
  <c r="G233" i="6" s="1" a="1"/>
  <c r="G233" i="6" s="1"/>
  <c r="H233" i="6" s="1"/>
  <c r="E211" i="4"/>
  <c r="L211" i="4" s="1"/>
  <c r="H207" i="4"/>
  <c r="E229" i="6" s="1" a="1"/>
  <c r="E229" i="6" s="1"/>
  <c r="F229" i="6" s="1"/>
  <c r="I207" i="4"/>
  <c r="G229" i="6" s="1" a="1"/>
  <c r="G229" i="6" s="1"/>
  <c r="H229" i="6" s="1"/>
  <c r="E207" i="4"/>
  <c r="L207" i="4" s="1"/>
  <c r="H210" i="4"/>
  <c r="E232" i="6" s="1" a="1"/>
  <c r="E232" i="6" s="1"/>
  <c r="F232" i="6" s="1"/>
  <c r="I210" i="4"/>
  <c r="G232" i="6" s="1" a="1"/>
  <c r="G232" i="6" s="1"/>
  <c r="H232" i="6" s="1"/>
  <c r="E210" i="4"/>
  <c r="L210" i="4" s="1"/>
  <c r="F214" i="4" a="1"/>
  <c r="F214" i="4" s="1"/>
  <c r="G214" i="4" s="1"/>
  <c r="D214" i="4"/>
  <c r="F212" i="4" a="1"/>
  <c r="F212" i="4" s="1"/>
  <c r="G212" i="4" s="1"/>
  <c r="D212" i="4"/>
  <c r="F215" i="4" a="1"/>
  <c r="F215" i="4" s="1"/>
  <c r="G215" i="4" s="1"/>
  <c r="D215" i="4"/>
  <c r="F216" i="4" a="1"/>
  <c r="F216" i="4" s="1"/>
  <c r="G216" i="4" s="1"/>
  <c r="D216" i="4"/>
  <c r="F213" i="4" a="1"/>
  <c r="F213" i="4" s="1"/>
  <c r="G213" i="4" s="1"/>
  <c r="D213" i="4"/>
  <c r="H209" i="4"/>
  <c r="E231" i="6" s="1" a="1"/>
  <c r="E231" i="6" s="1"/>
  <c r="F231" i="6" s="1"/>
  <c r="I209" i="4"/>
  <c r="G231" i="6" s="1" a="1"/>
  <c r="G231" i="6" s="1"/>
  <c r="H231" i="6" s="1"/>
  <c r="E209" i="4"/>
  <c r="L209" i="4" s="1"/>
  <c r="H208" i="4"/>
  <c r="E230" i="6" s="1" a="1"/>
  <c r="E230" i="6" s="1"/>
  <c r="F230" i="6" s="1"/>
  <c r="I208" i="4"/>
  <c r="G230" i="6" s="1" a="1"/>
  <c r="G230" i="6" s="1"/>
  <c r="H230" i="6" s="1"/>
  <c r="E208" i="4"/>
  <c r="L208" i="4" s="1"/>
  <c r="A219" i="4"/>
  <c r="A217" i="4"/>
  <c r="K208" i="4"/>
  <c r="J208" i="4"/>
  <c r="A220" i="4"/>
  <c r="K207" i="4"/>
  <c r="J207" i="4"/>
  <c r="K209" i="4"/>
  <c r="J209" i="4"/>
  <c r="K211" i="4"/>
  <c r="J211" i="4"/>
  <c r="A221" i="4"/>
  <c r="A218" i="4"/>
  <c r="K210" i="4"/>
  <c r="J210" i="4"/>
  <c r="F218" i="4" l="1" a="1"/>
  <c r="F218" i="4" s="1"/>
  <c r="G218" i="4" s="1"/>
  <c r="D218" i="4"/>
  <c r="F220" i="4" a="1"/>
  <c r="F220" i="4" s="1"/>
  <c r="G220" i="4" s="1"/>
  <c r="D220" i="4"/>
  <c r="F219" i="4" a="1"/>
  <c r="F219" i="4" s="1"/>
  <c r="G219" i="4" s="1"/>
  <c r="D219" i="4"/>
  <c r="F221" i="4" a="1"/>
  <c r="F221" i="4" s="1"/>
  <c r="G221" i="4" s="1"/>
  <c r="D221" i="4"/>
  <c r="F217" i="4" a="1"/>
  <c r="F217" i="4" s="1"/>
  <c r="G217" i="4" s="1"/>
  <c r="D217" i="4"/>
  <c r="H213" i="4"/>
  <c r="E235" i="6" s="1" a="1"/>
  <c r="E235" i="6" s="1"/>
  <c r="F235" i="6" s="1"/>
  <c r="I213" i="4"/>
  <c r="G235" i="6" s="1" a="1"/>
  <c r="G235" i="6" s="1"/>
  <c r="H235" i="6" s="1"/>
  <c r="E213" i="4"/>
  <c r="L213" i="4" s="1"/>
  <c r="H216" i="4"/>
  <c r="E238" i="6" s="1" a="1"/>
  <c r="E238" i="6" s="1"/>
  <c r="F238" i="6" s="1"/>
  <c r="I216" i="4"/>
  <c r="G238" i="6" s="1" a="1"/>
  <c r="G238" i="6" s="1"/>
  <c r="H238" i="6" s="1"/>
  <c r="E216" i="4"/>
  <c r="L216" i="4" s="1"/>
  <c r="H215" i="4"/>
  <c r="E237" i="6" s="1" a="1"/>
  <c r="E237" i="6" s="1"/>
  <c r="F237" i="6" s="1"/>
  <c r="E215" i="4"/>
  <c r="L215" i="4" s="1"/>
  <c r="I215" i="4"/>
  <c r="G237" i="6" s="1" a="1"/>
  <c r="G237" i="6" s="1"/>
  <c r="H237" i="6" s="1"/>
  <c r="H212" i="4"/>
  <c r="E234" i="6" s="1" a="1"/>
  <c r="E234" i="6" s="1"/>
  <c r="F234" i="6" s="1"/>
  <c r="I212" i="4"/>
  <c r="G234" i="6" s="1" a="1"/>
  <c r="G234" i="6" s="1"/>
  <c r="H234" i="6" s="1"/>
  <c r="E212" i="4"/>
  <c r="L212" i="4" s="1"/>
  <c r="H214" i="4"/>
  <c r="E236" i="6" s="1" a="1"/>
  <c r="E236" i="6" s="1"/>
  <c r="F236" i="6" s="1"/>
  <c r="E214" i="4"/>
  <c r="L214" i="4" s="1"/>
  <c r="I214" i="4"/>
  <c r="G236" i="6" s="1" a="1"/>
  <c r="G236" i="6" s="1"/>
  <c r="H236" i="6" s="1"/>
  <c r="J212" i="4"/>
  <c r="K212" i="4"/>
  <c r="J214" i="4"/>
  <c r="K214" i="4"/>
  <c r="J216" i="4"/>
  <c r="K216" i="4"/>
  <c r="J213" i="4"/>
  <c r="K213" i="4"/>
  <c r="A226" i="4"/>
  <c r="A224" i="4"/>
  <c r="A225" i="4"/>
  <c r="A223" i="4"/>
  <c r="J215" i="4"/>
  <c r="K215" i="4"/>
  <c r="A222" i="4"/>
  <c r="F225" i="4" l="1" a="1"/>
  <c r="F225" i="4" s="1"/>
  <c r="G225" i="4" s="1"/>
  <c r="D225" i="4"/>
  <c r="F226" i="4" a="1"/>
  <c r="F226" i="4" s="1"/>
  <c r="G226" i="4" s="1"/>
  <c r="D226" i="4"/>
  <c r="H217" i="4"/>
  <c r="E239" i="6" s="1" a="1"/>
  <c r="E239" i="6" s="1"/>
  <c r="F239" i="6" s="1"/>
  <c r="I217" i="4"/>
  <c r="G239" i="6" s="1" a="1"/>
  <c r="G239" i="6" s="1"/>
  <c r="H239" i="6" s="1"/>
  <c r="E217" i="4"/>
  <c r="L217" i="4" s="1"/>
  <c r="H221" i="4"/>
  <c r="E243" i="6" s="1" a="1"/>
  <c r="E243" i="6" s="1"/>
  <c r="F243" i="6" s="1"/>
  <c r="E221" i="4"/>
  <c r="L221" i="4" s="1"/>
  <c r="I221" i="4"/>
  <c r="G243" i="6" s="1" a="1"/>
  <c r="G243" i="6" s="1"/>
  <c r="H243" i="6" s="1"/>
  <c r="H219" i="4"/>
  <c r="E241" i="6" s="1" a="1"/>
  <c r="E241" i="6" s="1"/>
  <c r="F241" i="6" s="1"/>
  <c r="E219" i="4"/>
  <c r="L219" i="4" s="1"/>
  <c r="I219" i="4"/>
  <c r="G241" i="6" s="1" a="1"/>
  <c r="G241" i="6" s="1"/>
  <c r="H241" i="6" s="1"/>
  <c r="H220" i="4"/>
  <c r="E242" i="6" s="1" a="1"/>
  <c r="E242" i="6" s="1"/>
  <c r="F242" i="6" s="1"/>
  <c r="I220" i="4"/>
  <c r="G242" i="6" s="1" a="1"/>
  <c r="G242" i="6" s="1"/>
  <c r="H242" i="6" s="1"/>
  <c r="E220" i="4"/>
  <c r="L220" i="4" s="1"/>
  <c r="H218" i="4"/>
  <c r="E240" i="6" s="1" a="1"/>
  <c r="E240" i="6" s="1"/>
  <c r="F240" i="6" s="1"/>
  <c r="E218" i="4"/>
  <c r="L218" i="4" s="1"/>
  <c r="I218" i="4"/>
  <c r="G240" i="6" s="1" a="1"/>
  <c r="G240" i="6" s="1"/>
  <c r="H240" i="6" s="1"/>
  <c r="F222" i="4" a="1"/>
  <c r="F222" i="4" s="1"/>
  <c r="G222" i="4" s="1"/>
  <c r="D222" i="4"/>
  <c r="F223" i="4" a="1"/>
  <c r="F223" i="4" s="1"/>
  <c r="G223" i="4" s="1"/>
  <c r="D223" i="4"/>
  <c r="F224" i="4" a="1"/>
  <c r="F224" i="4" s="1"/>
  <c r="G224" i="4" s="1"/>
  <c r="D224" i="4"/>
  <c r="J219" i="4"/>
  <c r="K219" i="4"/>
  <c r="A228" i="4"/>
  <c r="A229" i="4"/>
  <c r="A231" i="4"/>
  <c r="J217" i="4"/>
  <c r="K217" i="4"/>
  <c r="A227" i="4"/>
  <c r="K220" i="4"/>
  <c r="J220" i="4"/>
  <c r="K218" i="4"/>
  <c r="J218" i="4"/>
  <c r="A230" i="4"/>
  <c r="K221" i="4"/>
  <c r="J221" i="4"/>
  <c r="F231" i="4" l="1" a="1"/>
  <c r="F231" i="4" s="1"/>
  <c r="G231" i="4" s="1"/>
  <c r="D231" i="4"/>
  <c r="H226" i="4"/>
  <c r="E250" i="6" s="1" a="1"/>
  <c r="E250" i="6" s="1"/>
  <c r="F250" i="6" s="1"/>
  <c r="I226" i="4"/>
  <c r="G250" i="6" s="1" a="1"/>
  <c r="G250" i="6" s="1"/>
  <c r="H250" i="6" s="1"/>
  <c r="E226" i="4"/>
  <c r="L226" i="4" s="1"/>
  <c r="H225" i="4"/>
  <c r="E249" i="6" s="1" a="1"/>
  <c r="E249" i="6" s="1"/>
  <c r="F249" i="6" s="1"/>
  <c r="I225" i="4"/>
  <c r="G249" i="6" s="1" a="1"/>
  <c r="G249" i="6" s="1"/>
  <c r="H249" i="6" s="1"/>
  <c r="E225" i="4"/>
  <c r="L225" i="4" s="1"/>
  <c r="F230" i="4" a="1"/>
  <c r="F230" i="4" s="1"/>
  <c r="G230" i="4" s="1"/>
  <c r="D230" i="4"/>
  <c r="F228" i="4" a="1"/>
  <c r="F228" i="4" s="1"/>
  <c r="G228" i="4" s="1"/>
  <c r="D228" i="4"/>
  <c r="F227" i="4" a="1"/>
  <c r="F227" i="4" s="1"/>
  <c r="G227" i="4" s="1"/>
  <c r="D227" i="4"/>
  <c r="F229" i="4" a="1"/>
  <c r="F229" i="4" s="1"/>
  <c r="G229" i="4" s="1"/>
  <c r="D229" i="4"/>
  <c r="H224" i="4"/>
  <c r="E248" i="6" s="1" a="1"/>
  <c r="E248" i="6" s="1"/>
  <c r="F248" i="6" s="1"/>
  <c r="I224" i="4"/>
  <c r="G248" i="6" s="1" a="1"/>
  <c r="G248" i="6" s="1"/>
  <c r="H248" i="6" s="1"/>
  <c r="E224" i="4"/>
  <c r="L224" i="4" s="1"/>
  <c r="H223" i="4"/>
  <c r="E247" i="6" s="1" a="1"/>
  <c r="E247" i="6" s="1"/>
  <c r="F247" i="6" s="1"/>
  <c r="I223" i="4"/>
  <c r="G247" i="6" s="1" a="1"/>
  <c r="G247" i="6" s="1"/>
  <c r="H247" i="6" s="1"/>
  <c r="E223" i="4"/>
  <c r="L223" i="4" s="1"/>
  <c r="H222" i="4"/>
  <c r="E246" i="6" s="1" a="1"/>
  <c r="E246" i="6" s="1"/>
  <c r="F246" i="6" s="1"/>
  <c r="I222" i="4"/>
  <c r="G246" i="6" s="1" a="1"/>
  <c r="G246" i="6" s="1"/>
  <c r="H246" i="6" s="1"/>
  <c r="E222" i="4"/>
  <c r="L222" i="4" s="1"/>
  <c r="J225" i="4"/>
  <c r="K225" i="4"/>
  <c r="A232" i="4"/>
  <c r="K226" i="4"/>
  <c r="J226" i="4"/>
  <c r="A233" i="4"/>
  <c r="A236" i="4"/>
  <c r="A235" i="4"/>
  <c r="K222" i="4"/>
  <c r="J222" i="4"/>
  <c r="A234" i="4"/>
  <c r="J224" i="4"/>
  <c r="K224" i="4"/>
  <c r="J223" i="4"/>
  <c r="K223" i="4"/>
  <c r="F234" i="4" l="1" a="1"/>
  <c r="F234" i="4" s="1"/>
  <c r="G234" i="4" s="1"/>
  <c r="D234" i="4"/>
  <c r="F236" i="4" a="1"/>
  <c r="F236" i="4" s="1"/>
  <c r="G236" i="4" s="1"/>
  <c r="D236" i="4"/>
  <c r="F232" i="4" a="1"/>
  <c r="F232" i="4" s="1"/>
  <c r="G232" i="4" s="1"/>
  <c r="D232" i="4"/>
  <c r="H229" i="4"/>
  <c r="I229" i="4"/>
  <c r="G253" i="6" s="1" a="1"/>
  <c r="G253" i="6" s="1"/>
  <c r="H253" i="6" s="1"/>
  <c r="E229" i="4"/>
  <c r="L229" i="4" s="1"/>
  <c r="H227" i="4"/>
  <c r="E251" i="6" s="1" a="1"/>
  <c r="E251" i="6" s="1"/>
  <c r="F251" i="6" s="1"/>
  <c r="I227" i="4"/>
  <c r="G251" i="6" s="1" a="1"/>
  <c r="G251" i="6" s="1"/>
  <c r="H251" i="6" s="1"/>
  <c r="E227" i="4"/>
  <c r="L227" i="4" s="1"/>
  <c r="H228" i="4"/>
  <c r="E252" i="6" s="1" a="1"/>
  <c r="E252" i="6" s="1"/>
  <c r="F252" i="6" s="1"/>
  <c r="I228" i="4"/>
  <c r="G252" i="6" s="1" a="1"/>
  <c r="G252" i="6" s="1"/>
  <c r="H252" i="6" s="1"/>
  <c r="E228" i="4"/>
  <c r="L228" i="4" s="1"/>
  <c r="H230" i="4"/>
  <c r="E254" i="6" s="1" a="1"/>
  <c r="E254" i="6" s="1"/>
  <c r="F254" i="6" s="1"/>
  <c r="E230" i="4"/>
  <c r="L230" i="4" s="1"/>
  <c r="I230" i="4"/>
  <c r="G254" i="6" s="1" a="1"/>
  <c r="G254" i="6" s="1"/>
  <c r="H254" i="6" s="1"/>
  <c r="H231" i="4"/>
  <c r="E255" i="6" s="1" a="1"/>
  <c r="E255" i="6" s="1"/>
  <c r="F255" i="6" s="1"/>
  <c r="E231" i="4"/>
  <c r="L231" i="4" s="1"/>
  <c r="I231" i="4"/>
  <c r="G255" i="6" s="1" a="1"/>
  <c r="G255" i="6" s="1"/>
  <c r="H255" i="6" s="1"/>
  <c r="F235" i="4" a="1"/>
  <c r="F235" i="4" s="1"/>
  <c r="G235" i="4" s="1"/>
  <c r="D235" i="4"/>
  <c r="F233" i="4" a="1"/>
  <c r="F233" i="4" s="1"/>
  <c r="G233" i="4" s="1"/>
  <c r="D233" i="4"/>
  <c r="J228" i="4"/>
  <c r="K228" i="4"/>
  <c r="A237" i="4"/>
  <c r="K230" i="4"/>
  <c r="J230" i="4"/>
  <c r="E253" i="6" a="1"/>
  <c r="E253" i="6" s="1"/>
  <c r="F253" i="6" s="1"/>
  <c r="A240" i="4"/>
  <c r="A239" i="4"/>
  <c r="A241" i="4"/>
  <c r="A238" i="4"/>
  <c r="J231" i="4"/>
  <c r="K231" i="4"/>
  <c r="K229" i="4"/>
  <c r="J229" i="4"/>
  <c r="K227" i="4"/>
  <c r="J227" i="4"/>
  <c r="F238" i="4" l="1" a="1"/>
  <c r="F238" i="4" s="1"/>
  <c r="G238" i="4" s="1"/>
  <c r="D238" i="4"/>
  <c r="F239" i="4" a="1"/>
  <c r="F239" i="4" s="1"/>
  <c r="G239" i="4" s="1"/>
  <c r="D239" i="4"/>
  <c r="H232" i="4"/>
  <c r="E256" i="6" s="1" a="1"/>
  <c r="E256" i="6" s="1"/>
  <c r="F256" i="6" s="1"/>
  <c r="I232" i="4"/>
  <c r="G256" i="6" s="1" a="1"/>
  <c r="G256" i="6" s="1"/>
  <c r="H256" i="6" s="1"/>
  <c r="E232" i="4"/>
  <c r="L232" i="4" s="1"/>
  <c r="H236" i="4"/>
  <c r="E260" i="6" s="1" a="1"/>
  <c r="E260" i="6" s="1"/>
  <c r="F260" i="6" s="1"/>
  <c r="I236" i="4"/>
  <c r="G260" i="6" s="1" a="1"/>
  <c r="G260" i="6" s="1"/>
  <c r="H260" i="6" s="1"/>
  <c r="E236" i="4"/>
  <c r="L236" i="4" s="1"/>
  <c r="H234" i="4"/>
  <c r="E258" i="6" s="1" a="1"/>
  <c r="E258" i="6" s="1"/>
  <c r="F258" i="6" s="1"/>
  <c r="E234" i="4"/>
  <c r="L234" i="4" s="1"/>
  <c r="I234" i="4"/>
  <c r="G258" i="6" s="1" a="1"/>
  <c r="G258" i="6" s="1"/>
  <c r="H258" i="6" s="1"/>
  <c r="F237" i="4" a="1"/>
  <c r="F237" i="4" s="1"/>
  <c r="G237" i="4" s="1"/>
  <c r="D237" i="4"/>
  <c r="F241" i="4" a="1"/>
  <c r="F241" i="4" s="1"/>
  <c r="G241" i="4" s="1"/>
  <c r="D241" i="4"/>
  <c r="F240" i="4" a="1"/>
  <c r="F240" i="4" s="1"/>
  <c r="G240" i="4" s="1"/>
  <c r="D240" i="4"/>
  <c r="H233" i="4"/>
  <c r="E257" i="6" s="1" a="1"/>
  <c r="E257" i="6" s="1"/>
  <c r="F257" i="6" s="1"/>
  <c r="I233" i="4"/>
  <c r="G257" i="6" s="1" a="1"/>
  <c r="G257" i="6" s="1"/>
  <c r="H257" i="6" s="1"/>
  <c r="E233" i="4"/>
  <c r="L233" i="4" s="1"/>
  <c r="H235" i="4"/>
  <c r="E259" i="6" s="1" a="1"/>
  <c r="E259" i="6" s="1"/>
  <c r="F259" i="6" s="1"/>
  <c r="E235" i="4"/>
  <c r="L235" i="4" s="1"/>
  <c r="I235" i="4"/>
  <c r="G259" i="6" s="1" a="1"/>
  <c r="G259" i="6" s="1"/>
  <c r="H259" i="6" s="1"/>
  <c r="K235" i="4"/>
  <c r="J235" i="4"/>
  <c r="J232" i="4"/>
  <c r="K232" i="4"/>
  <c r="K234" i="4"/>
  <c r="J234" i="4"/>
  <c r="J236" i="4"/>
  <c r="K236" i="4"/>
  <c r="K233" i="4"/>
  <c r="J233" i="4"/>
  <c r="G7" i="6" a="1"/>
  <c r="G7" i="6" s="1"/>
  <c r="H7" i="6" s="1"/>
  <c r="E13" i="6" a="1"/>
  <c r="E13" i="6" s="1"/>
  <c r="F13" i="6" s="1"/>
  <c r="E8" i="6" a="1"/>
  <c r="E8" i="6" s="1"/>
  <c r="F8" i="6" s="1"/>
  <c r="G8" i="6" a="1"/>
  <c r="G8" i="6" s="1"/>
  <c r="H8" i="6" s="1"/>
  <c r="E12" i="6" a="1"/>
  <c r="E12" i="6" s="1"/>
  <c r="F12" i="6" s="1"/>
  <c r="E7" i="6" a="1"/>
  <c r="E7" i="6" s="1"/>
  <c r="F7" i="6" s="1"/>
  <c r="H240" i="4" l="1"/>
  <c r="E264" i="6" s="1" a="1"/>
  <c r="E264" i="6" s="1"/>
  <c r="F264" i="6" s="1"/>
  <c r="I240" i="4"/>
  <c r="G264" i="6" s="1" a="1"/>
  <c r="G264" i="6" s="1"/>
  <c r="H264" i="6" s="1"/>
  <c r="E240" i="4"/>
  <c r="L240" i="4" s="1"/>
  <c r="H237" i="4"/>
  <c r="E261" i="6" s="1" a="1"/>
  <c r="E261" i="6" s="1"/>
  <c r="F261" i="6" s="1"/>
  <c r="E237" i="4"/>
  <c r="L237" i="4" s="1"/>
  <c r="I237" i="4"/>
  <c r="G261" i="6" s="1" a="1"/>
  <c r="G261" i="6" s="1"/>
  <c r="H261" i="6" s="1"/>
  <c r="H239" i="4"/>
  <c r="E263" i="6" s="1" a="1"/>
  <c r="E263" i="6" s="1"/>
  <c r="F263" i="6" s="1"/>
  <c r="I239" i="4"/>
  <c r="G263" i="6" s="1" a="1"/>
  <c r="G263" i="6" s="1"/>
  <c r="H263" i="6" s="1"/>
  <c r="E239" i="4"/>
  <c r="L239" i="4" s="1"/>
  <c r="H241" i="4"/>
  <c r="I241" i="4"/>
  <c r="E241" i="4"/>
  <c r="L241" i="4" s="1"/>
  <c r="H238" i="4"/>
  <c r="E262" i="6" s="1" a="1"/>
  <c r="E262" i="6" s="1"/>
  <c r="F262" i="6" s="1"/>
  <c r="I238" i="4"/>
  <c r="G262" i="6" s="1" a="1"/>
  <c r="G262" i="6" s="1"/>
  <c r="H262" i="6" s="1"/>
  <c r="E238" i="4"/>
  <c r="L238" i="4" s="1"/>
  <c r="J237" i="4"/>
  <c r="K237" i="4"/>
  <c r="K239" i="4"/>
  <c r="J239" i="4"/>
  <c r="J238" i="4"/>
  <c r="K238" i="4"/>
  <c r="J240" i="4"/>
  <c r="K240" i="4"/>
  <c r="K241" i="4"/>
  <c r="J241" i="4"/>
  <c r="AF4" i="5" l="1"/>
  <c r="AG13" i="5"/>
  <c r="AG14" i="5"/>
  <c r="AG11" i="5"/>
  <c r="AG12" i="5"/>
  <c r="AG8" i="5"/>
  <c r="AG7" i="5"/>
  <c r="AG5" i="5"/>
  <c r="AG6" i="5"/>
  <c r="AG4" i="5"/>
  <c r="AG10" i="5"/>
  <c r="AF13" i="5"/>
  <c r="AF12" i="5"/>
  <c r="AH12" i="5" s="1"/>
  <c r="AF11" i="5"/>
  <c r="AF14" i="5"/>
  <c r="AF10" i="5"/>
  <c r="AF6" i="5"/>
  <c r="AH6" i="5" s="1"/>
  <c r="AF7" i="5"/>
  <c r="AF8" i="5"/>
  <c r="AF5" i="5"/>
  <c r="AE10" i="5" a="1"/>
  <c r="AE10" i="5" s="1"/>
  <c r="AE11" i="5" a="1"/>
  <c r="AE11" i="5" s="1"/>
  <c r="AE12" i="5" a="1"/>
  <c r="AE12" i="5" s="1"/>
  <c r="AE14" i="5" a="1"/>
  <c r="AE14" i="5" s="1"/>
  <c r="AE13" i="5" a="1"/>
  <c r="AE13" i="5" s="1"/>
  <c r="AE4" i="5" a="1"/>
  <c r="AE4" i="5" s="1"/>
  <c r="AE8" i="5" a="1"/>
  <c r="AE8" i="5" s="1"/>
  <c r="AE7" i="5" a="1"/>
  <c r="AE7" i="5" s="1"/>
  <c r="AE6" i="5" a="1"/>
  <c r="AE6" i="5" s="1"/>
  <c r="AE5" i="5" a="1"/>
  <c r="AE5" i="5" s="1"/>
  <c r="AD10" i="5" a="1"/>
  <c r="AD10" i="5" s="1"/>
  <c r="AD12" i="5" a="1"/>
  <c r="AD12" i="5" s="1"/>
  <c r="AD13" i="5" a="1"/>
  <c r="AD13" i="5" s="1"/>
  <c r="AI13" i="5" s="1"/>
  <c r="AD11" i="5" a="1"/>
  <c r="AD11" i="5" s="1"/>
  <c r="AD14" i="5" a="1"/>
  <c r="AD14" i="5" s="1"/>
  <c r="AD4" i="5" a="1"/>
  <c r="AD4" i="5" s="1"/>
  <c r="AD5" i="5" a="1"/>
  <c r="AD5" i="5" s="1"/>
  <c r="AD6" i="5" a="1"/>
  <c r="AD6" i="5" s="1"/>
  <c r="AD7" i="5" a="1"/>
  <c r="AD7" i="5" s="1"/>
  <c r="AI7" i="5" s="1"/>
  <c r="AD8" i="5" a="1"/>
  <c r="AD8" i="5" s="1"/>
  <c r="E10" i="5" a="1"/>
  <c r="E10" i="5" s="1"/>
  <c r="E11" i="5" a="1"/>
  <c r="E11" i="5" s="1"/>
  <c r="X12" i="5"/>
  <c r="E12" i="5" a="1"/>
  <c r="E12" i="5" s="1"/>
  <c r="Q11" i="5"/>
  <c r="Y11" i="5"/>
  <c r="H12" i="5"/>
  <c r="G12" i="5" a="1"/>
  <c r="G12" i="5" s="1"/>
  <c r="N11" i="5" a="1"/>
  <c r="N11" i="5" s="1"/>
  <c r="Q12" i="5"/>
  <c r="I12" i="5"/>
  <c r="X11" i="5"/>
  <c r="V11" i="5" a="1"/>
  <c r="V11" i="5" s="1"/>
  <c r="I11" i="5"/>
  <c r="G11" i="5" a="1"/>
  <c r="G11" i="5" s="1"/>
  <c r="Y12" i="5"/>
  <c r="H11" i="5"/>
  <c r="F12" i="5" a="1"/>
  <c r="F12" i="5" s="1"/>
  <c r="P11" i="5"/>
  <c r="V12" i="5" a="1"/>
  <c r="V12" i="5" s="1"/>
  <c r="N12" i="5" a="1"/>
  <c r="N12" i="5" s="1"/>
  <c r="W12" i="5" a="1"/>
  <c r="W12" i="5" s="1"/>
  <c r="W11" i="5" a="1"/>
  <c r="W11" i="5" s="1"/>
  <c r="O12" i="5" a="1"/>
  <c r="O12" i="5" s="1"/>
  <c r="F11" i="5" a="1"/>
  <c r="F11" i="5" s="1"/>
  <c r="O11" i="5" a="1"/>
  <c r="O11" i="5" s="1"/>
  <c r="P12" i="5"/>
  <c r="I8" i="5"/>
  <c r="I5" i="5"/>
  <c r="E5" i="5" a="1"/>
  <c r="E5" i="5" s="1"/>
  <c r="F5" i="5" a="1"/>
  <c r="F5" i="5" s="1"/>
  <c r="I13" i="5"/>
  <c r="I7" i="5"/>
  <c r="F10" i="5" a="1"/>
  <c r="F10" i="5" s="1"/>
  <c r="F7" i="5" a="1"/>
  <c r="F7" i="5" s="1"/>
  <c r="I14" i="5"/>
  <c r="F8" i="5" a="1"/>
  <c r="F8" i="5" s="1"/>
  <c r="H5" i="5"/>
  <c r="F13" i="5" a="1"/>
  <c r="F13" i="5" s="1"/>
  <c r="E8" i="5" a="1"/>
  <c r="E8" i="5" s="1"/>
  <c r="H7" i="5"/>
  <c r="G8" i="5" a="1"/>
  <c r="G8" i="5" s="1"/>
  <c r="E7" i="5" a="1"/>
  <c r="E7" i="5" s="1"/>
  <c r="H8" i="5"/>
  <c r="G13" i="5" a="1"/>
  <c r="G13" i="5" s="1"/>
  <c r="F14" i="5" a="1"/>
  <c r="F14" i="5" s="1"/>
  <c r="H13" i="5"/>
  <c r="F6" i="5" a="1"/>
  <c r="F6" i="5" s="1"/>
  <c r="H14" i="5"/>
  <c r="G10" i="5" a="1"/>
  <c r="G10" i="5" s="1"/>
  <c r="E6" i="5" a="1"/>
  <c r="E6" i="5" s="1"/>
  <c r="H6" i="5"/>
  <c r="I10" i="5"/>
  <c r="E14" i="5" a="1"/>
  <c r="E14" i="5" s="1"/>
  <c r="G5" i="5" a="1"/>
  <c r="G5" i="5" s="1"/>
  <c r="E13" i="5" a="1"/>
  <c r="E13" i="5" s="1"/>
  <c r="H10" i="5"/>
  <c r="G7" i="5" a="1"/>
  <c r="G7" i="5" s="1"/>
  <c r="G14" i="5" a="1"/>
  <c r="G14" i="5" s="1"/>
  <c r="G6" i="5" a="1"/>
  <c r="G6" i="5" s="1"/>
  <c r="I6" i="5"/>
  <c r="G265" i="6" a="1"/>
  <c r="G265" i="6" s="1"/>
  <c r="H265" i="6" s="1"/>
  <c r="E265" i="6" a="1"/>
  <c r="E265" i="6" s="1"/>
  <c r="F265" i="6" s="1"/>
  <c r="AI8" i="5" l="1"/>
  <c r="AI12" i="5"/>
  <c r="U12" i="5"/>
  <c r="U11" i="5"/>
  <c r="S12" i="5"/>
  <c r="S11" i="5"/>
  <c r="AI4" i="5"/>
  <c r="M12" i="5"/>
  <c r="M11" i="5"/>
  <c r="AH10" i="5"/>
  <c r="AH14" i="5"/>
  <c r="AI11" i="5"/>
  <c r="AI6" i="5"/>
  <c r="AI10" i="5"/>
  <c r="AH13" i="5"/>
  <c r="AH11" i="5"/>
  <c r="AI14" i="5"/>
  <c r="AI5" i="5"/>
  <c r="AH8" i="5"/>
  <c r="AH5" i="5"/>
  <c r="AH7" i="5"/>
  <c r="AH4" i="5"/>
  <c r="AC6" i="5"/>
  <c r="AC8" i="5"/>
  <c r="AC5" i="5"/>
  <c r="AC7" i="5"/>
  <c r="AC13" i="5"/>
  <c r="AC4" i="5"/>
  <c r="AC14" i="5"/>
  <c r="AC11" i="5"/>
  <c r="AC12" i="5"/>
  <c r="AC10" i="5"/>
  <c r="J11" i="5"/>
  <c r="J10" i="5"/>
  <c r="R11" i="5"/>
  <c r="Z11" i="5"/>
  <c r="J5" i="5"/>
  <c r="R12" i="5"/>
  <c r="J12" i="5"/>
  <c r="K12" i="5"/>
  <c r="D12" i="5"/>
  <c r="Z12" i="5"/>
  <c r="D11" i="5"/>
  <c r="K11" i="5"/>
  <c r="J13" i="5"/>
  <c r="J8" i="5"/>
  <c r="J7" i="5"/>
  <c r="J14" i="5"/>
  <c r="K10" i="5"/>
  <c r="D10" i="5"/>
  <c r="D14" i="5"/>
  <c r="K14" i="5"/>
  <c r="K6" i="5"/>
  <c r="D6" i="5"/>
  <c r="D5" i="5"/>
  <c r="K5" i="5"/>
  <c r="K13" i="5"/>
  <c r="D13" i="5"/>
  <c r="K8" i="5"/>
  <c r="D8" i="5"/>
  <c r="J6" i="5"/>
  <c r="K7" i="5"/>
  <c r="D7" i="5"/>
  <c r="P8" i="5"/>
  <c r="O10" i="5" a="1"/>
  <c r="O10" i="5" s="1"/>
  <c r="Y10" i="5"/>
  <c r="V8" i="5" a="1"/>
  <c r="V8" i="5" s="1"/>
  <c r="P5" i="5"/>
  <c r="Q10" i="5"/>
  <c r="Y14" i="5"/>
  <c r="V10" i="5" a="1"/>
  <c r="V10" i="5" s="1"/>
  <c r="V7" i="5" a="1"/>
  <c r="V7" i="5" s="1"/>
  <c r="N4" i="5" a="1"/>
  <c r="N4" i="5" s="1"/>
  <c r="V13" i="5" a="1"/>
  <c r="V13" i="5" s="1"/>
  <c r="O13" i="5" a="1"/>
  <c r="O13" i="5" s="1"/>
  <c r="Q4" i="5"/>
  <c r="V4" i="5" a="1"/>
  <c r="V4" i="5" s="1"/>
  <c r="X13" i="5"/>
  <c r="X5" i="5"/>
  <c r="G4" i="5" a="1"/>
  <c r="G4" i="5" s="1"/>
  <c r="W14" i="5" a="1"/>
  <c r="W14" i="5" s="1"/>
  <c r="Q8" i="5"/>
  <c r="O7" i="5" a="1"/>
  <c r="O7" i="5" s="1"/>
  <c r="P7" i="5"/>
  <c r="W13" i="5" a="1"/>
  <c r="W13" i="5" s="1"/>
  <c r="Y6" i="5"/>
  <c r="I4" i="5"/>
  <c r="X6" i="5"/>
  <c r="X14" i="5"/>
  <c r="N5" i="5" a="1"/>
  <c r="N5" i="5" s="1"/>
  <c r="O8" i="5" a="1"/>
  <c r="O8" i="5" s="1"/>
  <c r="N8" i="5" a="1"/>
  <c r="N8" i="5" s="1"/>
  <c r="W4" i="5" a="1"/>
  <c r="W4" i="5" s="1"/>
  <c r="W7" i="5" a="1"/>
  <c r="W7" i="5" s="1"/>
  <c r="N6" i="5" a="1"/>
  <c r="N6" i="5" s="1"/>
  <c r="F4" i="5" a="1"/>
  <c r="F4" i="5" s="1"/>
  <c r="N13" i="5" a="1"/>
  <c r="N13" i="5" s="1"/>
  <c r="S13" i="5" s="1"/>
  <c r="X8" i="5"/>
  <c r="P4" i="5"/>
  <c r="P13" i="5"/>
  <c r="X10" i="5"/>
  <c r="N14" i="5" a="1"/>
  <c r="N14" i="5" s="1"/>
  <c r="W10" i="5" a="1"/>
  <c r="W10" i="5" s="1"/>
  <c r="V5" i="5" a="1"/>
  <c r="V5" i="5" s="1"/>
  <c r="O6" i="5" a="1"/>
  <c r="O6" i="5" s="1"/>
  <c r="W8" i="5" a="1"/>
  <c r="W8" i="5" s="1"/>
  <c r="Y4" i="5"/>
  <c r="O5" i="5" a="1"/>
  <c r="O5" i="5" s="1"/>
  <c r="V6" i="5" a="1"/>
  <c r="V6" i="5" s="1"/>
  <c r="P6" i="5"/>
  <c r="V14" i="5" a="1"/>
  <c r="V14" i="5" s="1"/>
  <c r="W6" i="5" a="1"/>
  <c r="W6" i="5" s="1"/>
  <c r="Q14" i="5"/>
  <c r="Y5" i="5"/>
  <c r="P10" i="5"/>
  <c r="X4" i="5"/>
  <c r="O14" i="5" a="1"/>
  <c r="O14" i="5" s="1"/>
  <c r="Y7" i="5"/>
  <c r="X7" i="5"/>
  <c r="W5" i="5" a="1"/>
  <c r="W5" i="5" s="1"/>
  <c r="Y13" i="5"/>
  <c r="E4" i="5" a="1"/>
  <c r="E4" i="5" s="1"/>
  <c r="Q13" i="5"/>
  <c r="O4" i="5" a="1"/>
  <c r="O4" i="5" s="1"/>
  <c r="Y8" i="5"/>
  <c r="Q5" i="5"/>
  <c r="Q7" i="5"/>
  <c r="P14" i="5"/>
  <c r="N7" i="5" a="1"/>
  <c r="N7" i="5" s="1"/>
  <c r="N10" i="5" a="1"/>
  <c r="N10" i="5" s="1"/>
  <c r="H4" i="5"/>
  <c r="Q6" i="5"/>
  <c r="U14" i="5" l="1"/>
  <c r="U13" i="5"/>
  <c r="U10" i="5"/>
  <c r="U8" i="5"/>
  <c r="U5" i="5"/>
  <c r="U7" i="5"/>
  <c r="U6" i="5"/>
  <c r="U4" i="5"/>
  <c r="S14" i="5"/>
  <c r="M10" i="5"/>
  <c r="S10" i="5"/>
  <c r="S6" i="5"/>
  <c r="M8" i="5"/>
  <c r="S8" i="5"/>
  <c r="M7" i="5"/>
  <c r="S7" i="5"/>
  <c r="S5" i="5"/>
  <c r="S4" i="5"/>
  <c r="M14" i="5"/>
  <c r="M13" i="5"/>
  <c r="M6" i="5"/>
  <c r="M5" i="5"/>
  <c r="M4" i="5"/>
  <c r="R4" i="5"/>
  <c r="AA11" i="5"/>
  <c r="L13" i="5"/>
  <c r="L11" i="5"/>
  <c r="L12" i="5"/>
  <c r="L10" i="5"/>
  <c r="L14" i="5"/>
  <c r="AA12" i="5"/>
  <c r="R14" i="5"/>
  <c r="R8" i="5"/>
  <c r="Z10" i="5"/>
  <c r="R5" i="5"/>
  <c r="Z14" i="5"/>
  <c r="J4" i="5"/>
  <c r="Z7" i="5"/>
  <c r="R10" i="5"/>
  <c r="Z4" i="5"/>
  <c r="Z6" i="5"/>
  <c r="R13" i="5"/>
  <c r="Z8" i="5"/>
  <c r="R7" i="5"/>
  <c r="D4" i="5"/>
  <c r="K4" i="5"/>
  <c r="L4" i="5" s="1"/>
  <c r="R6" i="5"/>
  <c r="Z5" i="5"/>
  <c r="Z13" i="5"/>
  <c r="L7" i="5" l="1"/>
  <c r="L5" i="5"/>
  <c r="L6" i="5"/>
  <c r="L8" i="5"/>
  <c r="T11" i="5"/>
  <c r="AA7" i="5"/>
  <c r="T12" i="5"/>
  <c r="AA4" i="5"/>
  <c r="AA10" i="5"/>
  <c r="AA14" i="5"/>
  <c r="AA6" i="5"/>
  <c r="AA13" i="5"/>
  <c r="AA8" i="5"/>
  <c r="AA5" i="5"/>
  <c r="T14" i="5"/>
  <c r="T10" i="5"/>
  <c r="T13" i="5"/>
  <c r="T4" i="5"/>
  <c r="T8" i="5"/>
  <c r="T7" i="5"/>
  <c r="T5" i="5"/>
  <c r="T6" i="5"/>
  <c r="AB11" i="5" l="1"/>
  <c r="AB12" i="5"/>
  <c r="AB10" i="5"/>
  <c r="AB6" i="5"/>
  <c r="AB13" i="5"/>
  <c r="AB8" i="5"/>
  <c r="AB5" i="5"/>
  <c r="AB14" i="5"/>
  <c r="AB4" i="5"/>
  <c r="AB7" i="5"/>
</calcChain>
</file>

<file path=xl/sharedStrings.xml><?xml version="1.0" encoding="utf-8"?>
<sst xmlns="http://schemas.openxmlformats.org/spreadsheetml/2006/main" count="718" uniqueCount="89">
  <si>
    <t>id</t>
  </si>
  <si>
    <t>name</t>
  </si>
  <si>
    <t>field</t>
  </si>
  <si>
    <t>fold</t>
  </si>
  <si>
    <t>fnew</t>
  </si>
  <si>
    <t>bask</t>
  </si>
  <si>
    <t>Πρ</t>
  </si>
  <si>
    <t>color</t>
  </si>
  <si>
    <t>yellow</t>
  </si>
  <si>
    <t>green</t>
  </si>
  <si>
    <t>blue</t>
  </si>
  <si>
    <t>orange</t>
  </si>
  <si>
    <t>pink</t>
  </si>
  <si>
    <t>Championship</t>
  </si>
  <si>
    <t>team</t>
  </si>
  <si>
    <t>PLD</t>
  </si>
  <si>
    <t>W</t>
  </si>
  <si>
    <t>D</t>
  </si>
  <si>
    <t>L</t>
  </si>
  <si>
    <t>GF</t>
  </si>
  <si>
    <t>GA</t>
  </si>
  <si>
    <t>GD</t>
  </si>
  <si>
    <t>PTS</t>
  </si>
  <si>
    <t>RNK</t>
  </si>
  <si>
    <t>Football</t>
  </si>
  <si>
    <t>Basketball</t>
  </si>
  <si>
    <t>r</t>
  </si>
  <si>
    <t>th</t>
  </si>
  <si>
    <t>ta</t>
  </si>
  <si>
    <t>sh</t>
  </si>
  <si>
    <t>sa</t>
  </si>
  <si>
    <t>sport</t>
  </si>
  <si>
    <t>referee</t>
  </si>
  <si>
    <t>ind</t>
  </si>
  <si>
    <t>played</t>
  </si>
  <si>
    <t>pair</t>
  </si>
  <si>
    <t>column</t>
  </si>
  <si>
    <t>char</t>
  </si>
  <si>
    <t>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</si>
  <si>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</si>
  <si>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</si>
  <si>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</si>
  <si>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</si>
  <si>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</si>
  <si>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</si>
  <si>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</si>
  <si>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</si>
  <si>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</si>
  <si>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Πρωί Α'</t>
  </si>
  <si>
    <t>Πρωί Β'</t>
  </si>
  <si>
    <t>Απόγ. Α'</t>
  </si>
  <si>
    <t>Απόγ. Β'</t>
  </si>
  <si>
    <t>Άφιξη</t>
  </si>
  <si>
    <t>voll</t>
  </si>
  <si>
    <t>base</t>
  </si>
  <si>
    <t>v</t>
  </si>
  <si>
    <t>p</t>
  </si>
  <si>
    <t>k</t>
  </si>
  <si>
    <t>m</t>
  </si>
  <si>
    <t>Volleyball</t>
  </si>
  <si>
    <t>col</t>
  </si>
  <si>
    <t>Π Ποδόσφαιρο</t>
  </si>
  <si>
    <t>Κ Ποδόσφαιρο</t>
  </si>
  <si>
    <t>Μπάσκετ</t>
  </si>
  <si>
    <t>Βόλεϊ</t>
  </si>
  <si>
    <t>Μπέιζμπολ</t>
  </si>
  <si>
    <t>tag</t>
  </si>
  <si>
    <t xml:space="preserve"> </t>
  </si>
  <si>
    <t>Aπ</t>
  </si>
  <si>
    <t>Baseball</t>
  </si>
  <si>
    <t>QL?</t>
  </si>
  <si>
    <t>Symbols Description</t>
  </si>
  <si>
    <t>Symbol</t>
  </si>
  <si>
    <t>Description</t>
  </si>
  <si>
    <t>Wins</t>
  </si>
  <si>
    <t>Draws</t>
  </si>
  <si>
    <t>Losses</t>
  </si>
  <si>
    <t>Goals for</t>
  </si>
  <si>
    <t>Goals against</t>
  </si>
  <si>
    <t>Goal difference</t>
  </si>
  <si>
    <t>Points</t>
  </si>
  <si>
    <t>Rank</t>
  </si>
  <si>
    <t>Qualified?</t>
  </si>
  <si>
    <t>Games played</t>
  </si>
  <si>
    <t>Team home</t>
  </si>
  <si>
    <t>Team away</t>
  </si>
  <si>
    <t>Score home</t>
  </si>
  <si>
    <t>Score away</t>
  </si>
  <si>
    <t>αγνοειται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</si>
</sst>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" x14ac:knownFonts="1">
    <font>
      <sz val="11"/>
      <color theme="1"/>
      <name val="Trebuchet MS"/>
      <family val="2"/>
      <charset val="161"/>
      <scheme val="minor"/>
    </font>
    <font>
      <sz val="12"/>
      <color theme="1"/>
      <name val="Trebuchet MS"/>
      <family val="2"/>
      <charset val="161"/>
      <scheme val="minor"/>
    </font>
    <font>
      <b/>
      <sz val="12"/>
      <color theme="0"/>
      <name val="Trebuchet MS"/>
      <family val="2"/>
      <charset val="161"/>
      <scheme val="minor"/>
    </font>
    <font>
      <sz val="12"/>
      <color theme="0"/>
      <name val="Trebuchet MS"/>
      <family val="2"/>
      <charset val="161"/>
      <scheme val="minor"/>
    </font>
    <font>
      <b/>
      <sz val="12"/>
      <color theme="1"/>
      <name val="Trebuchet MS"/>
      <family val="2"/>
      <charset val="161"/>
      <scheme val="minor"/>
    </font>
    <font>
      <sz val="14"/>
      <color theme="1"/>
      <name val="Trebuchet MS"/>
      <family val="2"/>
      <charset val="161"/>
      <scheme val="minor"/>
    </font>
    <font>
      <i/>
      <sz val="14"/>
      <color theme="1"/>
      <name val="Trebuchet MS"/>
      <family val="2"/>
      <charset val="161"/>
      <scheme val="minor"/>
    </font>
    <font>
      <sz val="12"/>
      <color theme="1"/>
      <name val="Trebuchet MS"/>
      <family val="2"/>
      <scheme val="minor"/>
    </font>
    <font>
      <sz val="8"/>
      <name val="Trebuchet MS"/>
      <family val="2"/>
      <charset val="161"/>
      <scheme val="minor"/>
    </font>
    <font>
      <sz val="12"/>
      <color theme="6" tint="0.39997558519241921"/>
      <name val="Trebuchet MS"/>
      <family val="2"/>
      <charset val="161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dashed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ashed">
        <color indexed="64"/>
      </right>
      <top style="double">
        <color indexed="64"/>
      </top>
      <bottom style="hair">
        <color indexed="64"/>
      </bottom>
      <diagonal/>
    </border>
    <border>
      <left style="dashed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ashed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dashed">
        <color indexed="64"/>
      </left>
      <right/>
      <top style="double">
        <color indexed="64"/>
      </top>
      <bottom style="hair">
        <color indexed="64"/>
      </bottom>
      <diagonal/>
    </border>
    <border>
      <left style="dashed">
        <color indexed="64"/>
      </left>
      <right/>
      <top style="hair">
        <color indexed="64"/>
      </top>
      <bottom style="hair">
        <color indexed="64"/>
      </bottom>
      <diagonal/>
    </border>
    <border>
      <left style="dashed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dashed">
        <color indexed="64"/>
      </right>
      <top style="double">
        <color indexed="64"/>
      </top>
      <bottom style="hair">
        <color indexed="64"/>
      </bottom>
      <diagonal/>
    </border>
    <border>
      <left/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dashed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ashed">
        <color indexed="64"/>
      </left>
      <right/>
      <top style="hair">
        <color indexed="64"/>
      </top>
      <bottom/>
      <diagonal/>
    </border>
    <border>
      <left/>
      <right style="dashed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ashed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ashed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ashed">
        <color indexed="64"/>
      </left>
      <right/>
      <top/>
      <bottom style="hair">
        <color indexed="64"/>
      </bottom>
      <diagonal/>
    </border>
    <border>
      <left/>
      <right style="dashed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ashed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ashed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dashed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ashed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ashed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ashed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ashed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1" fillId="8" borderId="20" applyFont="0" applyFill="0" applyBorder="0">
      <alignment horizontal="center" vertical="center"/>
    </xf>
  </cellStyleXfs>
  <cellXfs count="2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1" fillId="11" borderId="20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/>
    </xf>
    <xf numFmtId="0" fontId="1" fillId="11" borderId="22" xfId="0" applyFont="1" applyFill="1" applyBorder="1" applyAlignment="1">
      <alignment horizontal="center" vertical="center"/>
    </xf>
    <xf numFmtId="0" fontId="1" fillId="19" borderId="20" xfId="0" applyFont="1" applyFill="1" applyBorder="1" applyAlignment="1">
      <alignment horizontal="center" vertical="center"/>
    </xf>
    <xf numFmtId="0" fontId="1" fillId="19" borderId="18" xfId="0" applyFont="1" applyFill="1" applyBorder="1" applyAlignment="1">
      <alignment horizontal="center" vertical="center"/>
    </xf>
    <xf numFmtId="0" fontId="4" fillId="19" borderId="18" xfId="0" applyFont="1" applyFill="1" applyBorder="1" applyAlignment="1">
      <alignment horizontal="center" vertical="center"/>
    </xf>
    <xf numFmtId="0" fontId="1" fillId="19" borderId="22" xfId="0" applyFont="1" applyFill="1" applyBorder="1" applyAlignment="1">
      <alignment horizontal="center" vertical="center"/>
    </xf>
    <xf numFmtId="0" fontId="1" fillId="12" borderId="21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4" fillId="12" borderId="19" xfId="0" applyFont="1" applyFill="1" applyBorder="1" applyAlignment="1">
      <alignment horizontal="center" vertical="center"/>
    </xf>
    <xf numFmtId="0" fontId="1" fillId="12" borderId="23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left" vertical="center"/>
    </xf>
    <xf numFmtId="0" fontId="1" fillId="15" borderId="2" xfId="0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horizontal="center" vertical="center"/>
    </xf>
    <xf numFmtId="0" fontId="1" fillId="15" borderId="21" xfId="0" applyFont="1" applyFill="1" applyBorder="1" applyAlignment="1">
      <alignment horizontal="center" vertical="center"/>
    </xf>
    <xf numFmtId="0" fontId="1" fillId="15" borderId="19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1" fillId="15" borderId="23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1" fillId="22" borderId="21" xfId="0" applyFont="1" applyFill="1" applyBorder="1" applyAlignment="1">
      <alignment horizontal="center" vertical="center"/>
    </xf>
    <xf numFmtId="0" fontId="1" fillId="22" borderId="19" xfId="0" applyFont="1" applyFill="1" applyBorder="1" applyAlignment="1">
      <alignment horizontal="center" vertical="center"/>
    </xf>
    <xf numFmtId="0" fontId="4" fillId="22" borderId="19" xfId="0" applyFont="1" applyFill="1" applyBorder="1" applyAlignment="1">
      <alignment horizontal="center" vertical="center"/>
    </xf>
    <xf numFmtId="0" fontId="1" fillId="22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9" borderId="28" xfId="0" applyFont="1" applyFill="1" applyBorder="1" applyAlignment="1">
      <alignment horizontal="right" vertical="center"/>
    </xf>
    <xf numFmtId="0" fontId="1" fillId="21" borderId="8" xfId="0" applyFont="1" applyFill="1" applyBorder="1" applyAlignment="1">
      <alignment horizontal="right" vertical="center"/>
    </xf>
    <xf numFmtId="0" fontId="1" fillId="9" borderId="8" xfId="0" applyFont="1" applyFill="1" applyBorder="1" applyAlignment="1">
      <alignment horizontal="right" vertical="center"/>
    </xf>
    <xf numFmtId="49" fontId="1" fillId="0" borderId="0" xfId="0" quotePrefix="1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42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46" xfId="0" applyFont="1" applyBorder="1" applyAlignment="1">
      <alignment vertical="center"/>
    </xf>
    <xf numFmtId="0" fontId="5" fillId="0" borderId="47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50" xfId="0" applyFont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5" fillId="0" borderId="52" xfId="0" applyFont="1" applyBorder="1" applyAlignment="1">
      <alignment vertical="center"/>
    </xf>
    <xf numFmtId="0" fontId="5" fillId="0" borderId="53" xfId="0" applyFont="1" applyBorder="1" applyAlignment="1">
      <alignment vertical="center"/>
    </xf>
    <xf numFmtId="0" fontId="5" fillId="0" borderId="54" xfId="0" applyFont="1" applyBorder="1" applyAlignment="1">
      <alignment vertical="center"/>
    </xf>
    <xf numFmtId="0" fontId="5" fillId="0" borderId="55" xfId="0" applyFont="1" applyBorder="1" applyAlignment="1">
      <alignment vertical="center"/>
    </xf>
    <xf numFmtId="0" fontId="5" fillId="0" borderId="56" xfId="0" applyFont="1" applyBorder="1" applyAlignment="1">
      <alignment vertical="center"/>
    </xf>
    <xf numFmtId="0" fontId="5" fillId="0" borderId="57" xfId="0" applyFont="1" applyBorder="1" applyAlignment="1">
      <alignment vertical="center"/>
    </xf>
    <xf numFmtId="0" fontId="5" fillId="0" borderId="58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6" fillId="0" borderId="38" xfId="0" applyFont="1" applyBorder="1" applyAlignment="1">
      <alignment vertical="center"/>
    </xf>
    <xf numFmtId="0" fontId="6" fillId="0" borderId="59" xfId="0" applyFont="1" applyBorder="1" applyAlignment="1">
      <alignment vertical="center"/>
    </xf>
    <xf numFmtId="0" fontId="5" fillId="0" borderId="60" xfId="0" applyFont="1" applyBorder="1" applyAlignment="1">
      <alignment vertical="center"/>
    </xf>
    <xf numFmtId="0" fontId="5" fillId="0" borderId="61" xfId="0" applyFont="1" applyBorder="1" applyAlignment="1">
      <alignment vertical="center"/>
    </xf>
    <xf numFmtId="0" fontId="5" fillId="0" borderId="62" xfId="0" applyFont="1" applyBorder="1" applyAlignment="1">
      <alignment vertical="center"/>
    </xf>
    <xf numFmtId="0" fontId="5" fillId="0" borderId="63" xfId="0" applyFont="1" applyBorder="1" applyAlignment="1">
      <alignment vertical="center"/>
    </xf>
    <xf numFmtId="0" fontId="5" fillId="0" borderId="64" xfId="0" applyFont="1" applyBorder="1" applyAlignment="1">
      <alignment vertical="center"/>
    </xf>
    <xf numFmtId="0" fontId="5" fillId="0" borderId="65" xfId="0" applyFont="1" applyBorder="1" applyAlignment="1">
      <alignment vertical="center"/>
    </xf>
    <xf numFmtId="0" fontId="6" fillId="0" borderId="66" xfId="0" applyFont="1" applyBorder="1" applyAlignment="1">
      <alignment vertical="center"/>
    </xf>
    <xf numFmtId="0" fontId="5" fillId="0" borderId="67" xfId="0" applyFont="1" applyBorder="1" applyAlignment="1">
      <alignment vertical="center"/>
    </xf>
    <xf numFmtId="0" fontId="5" fillId="0" borderId="68" xfId="0" applyFont="1" applyBorder="1" applyAlignment="1">
      <alignment vertical="center"/>
    </xf>
    <xf numFmtId="0" fontId="5" fillId="0" borderId="69" xfId="0" applyFont="1" applyBorder="1" applyAlignment="1">
      <alignment vertical="center"/>
    </xf>
    <xf numFmtId="0" fontId="5" fillId="0" borderId="70" xfId="0" applyFont="1" applyBorder="1" applyAlignment="1">
      <alignment vertical="center"/>
    </xf>
    <xf numFmtId="0" fontId="5" fillId="0" borderId="71" xfId="0" applyFont="1" applyBorder="1" applyAlignment="1">
      <alignment vertical="center"/>
    </xf>
    <xf numFmtId="0" fontId="5" fillId="0" borderId="72" xfId="0" applyFont="1" applyBorder="1" applyAlignment="1">
      <alignment vertical="center"/>
    </xf>
    <xf numFmtId="0" fontId="6" fillId="0" borderId="74" xfId="0" applyFont="1" applyBorder="1" applyAlignment="1">
      <alignment vertical="center"/>
    </xf>
    <xf numFmtId="0" fontId="5" fillId="0" borderId="75" xfId="0" applyFont="1" applyBorder="1" applyAlignment="1">
      <alignment vertical="center"/>
    </xf>
    <xf numFmtId="0" fontId="5" fillId="0" borderId="76" xfId="0" applyFont="1" applyBorder="1" applyAlignment="1">
      <alignment vertical="center"/>
    </xf>
    <xf numFmtId="0" fontId="5" fillId="0" borderId="77" xfId="0" applyFont="1" applyBorder="1" applyAlignment="1">
      <alignment vertical="center"/>
    </xf>
    <xf numFmtId="0" fontId="5" fillId="0" borderId="78" xfId="0" applyFont="1" applyBorder="1" applyAlignment="1">
      <alignment vertical="center"/>
    </xf>
    <xf numFmtId="0" fontId="5" fillId="0" borderId="79" xfId="0" applyFont="1" applyBorder="1" applyAlignment="1">
      <alignment vertical="center"/>
    </xf>
    <xf numFmtId="0" fontId="5" fillId="0" borderId="80" xfId="0" applyFont="1" applyBorder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5" fillId="0" borderId="81" xfId="0" applyFont="1" applyBorder="1" applyAlignment="1">
      <alignment vertical="center"/>
    </xf>
    <xf numFmtId="0" fontId="5" fillId="0" borderId="82" xfId="0" applyFont="1" applyBorder="1" applyAlignment="1">
      <alignment vertical="center"/>
    </xf>
    <xf numFmtId="0" fontId="5" fillId="0" borderId="83" xfId="0" applyFont="1" applyBorder="1" applyAlignment="1">
      <alignment vertical="center"/>
    </xf>
    <xf numFmtId="49" fontId="1" fillId="2" borderId="0" xfId="0" applyNumberFormat="1" applyFont="1" applyFill="1" applyAlignment="1">
      <alignment horizontal="center" vertical="center"/>
    </xf>
    <xf numFmtId="49" fontId="1" fillId="10" borderId="9" xfId="0" applyNumberFormat="1" applyFont="1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/>
    </xf>
    <xf numFmtId="49" fontId="1" fillId="10" borderId="13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10" borderId="10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49" fontId="1" fillId="7" borderId="0" xfId="0" applyNumberFormat="1" applyFont="1" applyFill="1" applyAlignment="1">
      <alignment horizontal="center" vertical="center"/>
    </xf>
    <xf numFmtId="49" fontId="1" fillId="3" borderId="12" xfId="0" applyNumberFormat="1" applyFont="1" applyFill="1" applyBorder="1" applyAlignment="1">
      <alignment horizontal="center" vertical="center"/>
    </xf>
    <xf numFmtId="49" fontId="1" fillId="6" borderId="12" xfId="0" applyNumberFormat="1" applyFont="1" applyFill="1" applyBorder="1" applyAlignment="1">
      <alignment horizontal="center" vertical="center"/>
    </xf>
    <xf numFmtId="49" fontId="1" fillId="7" borderId="12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right" vertical="center"/>
    </xf>
    <xf numFmtId="0" fontId="1" fillId="9" borderId="12" xfId="0" applyFont="1" applyFill="1" applyBorder="1" applyAlignment="1">
      <alignment horizontal="left" vertical="center"/>
    </xf>
    <xf numFmtId="0" fontId="1" fillId="12" borderId="17" xfId="0" applyFont="1" applyFill="1" applyBorder="1" applyAlignment="1">
      <alignment horizontal="center" vertical="center"/>
    </xf>
    <xf numFmtId="0" fontId="1" fillId="12" borderId="12" xfId="0" applyFont="1" applyFill="1" applyBorder="1" applyAlignment="1">
      <alignment horizontal="center" vertical="center"/>
    </xf>
    <xf numFmtId="0" fontId="4" fillId="12" borderId="12" xfId="0" applyFont="1" applyFill="1" applyBorder="1" applyAlignment="1">
      <alignment horizontal="center" vertical="center"/>
    </xf>
    <xf numFmtId="0" fontId="1" fillId="12" borderId="30" xfId="0" applyFont="1" applyFill="1" applyBorder="1" applyAlignment="1">
      <alignment horizontal="center" vertical="center"/>
    </xf>
    <xf numFmtId="0" fontId="1" fillId="15" borderId="17" xfId="0" applyFont="1" applyFill="1" applyBorder="1" applyAlignment="1">
      <alignment horizontal="center" vertical="center"/>
    </xf>
    <xf numFmtId="0" fontId="1" fillId="15" borderId="12" xfId="0" applyFont="1" applyFill="1" applyBorder="1" applyAlignment="1">
      <alignment horizontal="center" vertical="center"/>
    </xf>
    <xf numFmtId="0" fontId="4" fillId="15" borderId="12" xfId="0" applyFont="1" applyFill="1" applyBorder="1" applyAlignment="1">
      <alignment horizontal="center" vertical="center"/>
    </xf>
    <xf numFmtId="0" fontId="1" fillId="15" borderId="30" xfId="0" applyFont="1" applyFill="1" applyBorder="1" applyAlignment="1">
      <alignment horizontal="center" vertical="center"/>
    </xf>
    <xf numFmtId="0" fontId="1" fillId="22" borderId="17" xfId="0" applyFont="1" applyFill="1" applyBorder="1" applyAlignment="1">
      <alignment horizontal="center" vertical="center"/>
    </xf>
    <xf numFmtId="0" fontId="1" fillId="22" borderId="12" xfId="0" applyFont="1" applyFill="1" applyBorder="1" applyAlignment="1">
      <alignment horizontal="center" vertical="center"/>
    </xf>
    <xf numFmtId="0" fontId="4" fillId="22" borderId="12" xfId="0" applyFont="1" applyFill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1" fillId="15" borderId="84" xfId="0" applyFont="1" applyFill="1" applyBorder="1" applyAlignment="1">
      <alignment horizontal="center" vertical="center"/>
    </xf>
    <xf numFmtId="0" fontId="1" fillId="22" borderId="4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1" borderId="0" xfId="0" applyFont="1" applyFill="1" applyAlignment="1">
      <alignment horizontal="left" vertical="center"/>
    </xf>
    <xf numFmtId="0" fontId="1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49" fontId="9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3" borderId="20" xfId="0" applyFont="1" applyFill="1" applyBorder="1" applyAlignment="1">
      <alignment horizontal="center" vertical="center"/>
    </xf>
    <xf numFmtId="0" fontId="1" fillId="23" borderId="18" xfId="0" applyFont="1" applyFill="1" applyBorder="1" applyAlignment="1">
      <alignment horizontal="center" vertical="center"/>
    </xf>
    <xf numFmtId="0" fontId="1" fillId="26" borderId="19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1" fillId="26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0" borderId="0" xfId="0" applyFont="1" applyFill="1" applyAlignment="1">
      <alignment horizontal="center" vertical="center"/>
    </xf>
    <xf numFmtId="0" fontId="1" fillId="30" borderId="8" xfId="0" applyFont="1" applyFill="1" applyBorder="1" applyAlignment="1">
      <alignment horizontal="center" vertical="center"/>
    </xf>
    <xf numFmtId="0" fontId="1" fillId="30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9" borderId="29" xfId="0" applyFont="1" applyFill="1" applyBorder="1" applyAlignment="1">
      <alignment horizontal="left" vertical="center"/>
    </xf>
    <xf numFmtId="0" fontId="1" fillId="21" borderId="9" xfId="0" applyFont="1" applyFill="1" applyBorder="1" applyAlignment="1">
      <alignment horizontal="left" vertical="center"/>
    </xf>
    <xf numFmtId="0" fontId="1" fillId="9" borderId="9" xfId="0" applyFont="1" applyFill="1" applyBorder="1" applyAlignment="1">
      <alignment horizontal="left" vertical="center"/>
    </xf>
    <xf numFmtId="0" fontId="1" fillId="9" borderId="10" xfId="0" applyFont="1" applyFill="1" applyBorder="1" applyAlignment="1">
      <alignment horizontal="left" vertical="center"/>
    </xf>
    <xf numFmtId="0" fontId="1" fillId="9" borderId="13" xfId="0" applyFont="1" applyFill="1" applyBorder="1" applyAlignment="1">
      <alignment horizontal="left" vertical="center"/>
    </xf>
    <xf numFmtId="0" fontId="1" fillId="9" borderId="21" xfId="0" applyFont="1" applyFill="1" applyBorder="1" applyAlignment="1">
      <alignment horizontal="right" vertical="center"/>
    </xf>
    <xf numFmtId="0" fontId="1" fillId="21" borderId="2" xfId="0" applyFont="1" applyFill="1" applyBorder="1" applyAlignment="1">
      <alignment horizontal="right" vertical="center"/>
    </xf>
    <xf numFmtId="0" fontId="1" fillId="9" borderId="2" xfId="0" applyFont="1" applyFill="1" applyBorder="1" applyAlignment="1">
      <alignment horizontal="right" vertical="center"/>
    </xf>
    <xf numFmtId="0" fontId="1" fillId="9" borderId="4" xfId="0" applyFont="1" applyFill="1" applyBorder="1" applyAlignment="1">
      <alignment horizontal="right" vertical="center"/>
    </xf>
    <xf numFmtId="0" fontId="1" fillId="9" borderId="17" xfId="0" applyFont="1" applyFill="1" applyBorder="1" applyAlignment="1">
      <alignment horizontal="right" vertical="center"/>
    </xf>
    <xf numFmtId="0" fontId="4" fillId="23" borderId="22" xfId="0" applyFont="1" applyFill="1" applyBorder="1" applyAlignment="1">
      <alignment horizontal="center" vertical="center"/>
    </xf>
    <xf numFmtId="0" fontId="1" fillId="26" borderId="21" xfId="0" applyFont="1" applyFill="1" applyBorder="1" applyAlignment="1">
      <alignment horizontal="center" vertical="center"/>
    </xf>
    <xf numFmtId="0" fontId="4" fillId="26" borderId="23" xfId="0" applyFont="1" applyFill="1" applyBorder="1" applyAlignment="1">
      <alignment horizontal="center" vertical="center"/>
    </xf>
    <xf numFmtId="0" fontId="1" fillId="24" borderId="2" xfId="0" applyFont="1" applyFill="1" applyBorder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4" fillId="24" borderId="3" xfId="0" applyFont="1" applyFill="1" applyBorder="1" applyAlignment="1">
      <alignment horizontal="center" vertical="center"/>
    </xf>
    <xf numFmtId="0" fontId="1" fillId="26" borderId="2" xfId="0" applyFont="1" applyFill="1" applyBorder="1" applyAlignment="1">
      <alignment horizontal="center" vertical="center"/>
    </xf>
    <xf numFmtId="0" fontId="1" fillId="26" borderId="0" xfId="0" applyFont="1" applyFill="1" applyAlignment="1">
      <alignment horizontal="center" vertical="center"/>
    </xf>
    <xf numFmtId="0" fontId="4" fillId="26" borderId="3" xfId="0" applyFont="1" applyFill="1" applyBorder="1" applyAlignment="1">
      <alignment horizontal="center" vertical="center"/>
    </xf>
    <xf numFmtId="0" fontId="1" fillId="26" borderId="4" xfId="0" applyFont="1" applyFill="1" applyBorder="1" applyAlignment="1">
      <alignment horizontal="center" vertical="center"/>
    </xf>
    <xf numFmtId="0" fontId="4" fillId="26" borderId="84" xfId="0" applyFont="1" applyFill="1" applyBorder="1" applyAlignment="1">
      <alignment horizontal="center" vertical="center"/>
    </xf>
    <xf numFmtId="0" fontId="1" fillId="26" borderId="17" xfId="0" applyFont="1" applyFill="1" applyBorder="1" applyAlignment="1">
      <alignment horizontal="center" vertical="center"/>
    </xf>
    <xf numFmtId="0" fontId="4" fillId="26" borderId="30" xfId="0" applyFont="1" applyFill="1" applyBorder="1" applyAlignment="1">
      <alignment horizontal="center" vertical="center"/>
    </xf>
    <xf numFmtId="49" fontId="9" fillId="0" borderId="0" xfId="0" applyNumberFormat="1" applyFont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49" fontId="1" fillId="31" borderId="0" xfId="0" applyNumberFormat="1" applyFont="1" applyFill="1" applyAlignment="1">
      <alignment horizontal="center" vertical="center"/>
    </xf>
    <xf numFmtId="49" fontId="1" fillId="31" borderId="9" xfId="0" applyNumberFormat="1" applyFont="1" applyFill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textRotation="90"/>
    </xf>
    <xf numFmtId="0" fontId="5" fillId="0" borderId="32" xfId="0" applyFont="1" applyBorder="1" applyAlignment="1">
      <alignment horizontal="center" vertical="center" textRotation="90"/>
    </xf>
    <xf numFmtId="0" fontId="5" fillId="0" borderId="73" xfId="0" applyFont="1" applyBorder="1" applyAlignment="1">
      <alignment horizontal="center" vertical="center" textRotation="90"/>
    </xf>
    <xf numFmtId="0" fontId="5" fillId="0" borderId="48" xfId="0" applyFont="1" applyBorder="1" applyAlignment="1">
      <alignment horizontal="center" vertical="center" textRotation="90"/>
    </xf>
    <xf numFmtId="0" fontId="5" fillId="0" borderId="49" xfId="0" applyFont="1" applyBorder="1" applyAlignment="1">
      <alignment horizontal="center" vertical="center" textRotation="90"/>
    </xf>
    <xf numFmtId="0" fontId="5" fillId="0" borderId="33" xfId="0" applyFont="1" applyBorder="1" applyAlignment="1">
      <alignment horizontal="center" vertical="center" textRotation="90"/>
    </xf>
    <xf numFmtId="0" fontId="5" fillId="0" borderId="34" xfId="0" applyFont="1" applyBorder="1" applyAlignment="1">
      <alignment horizontal="center" vertical="center" textRotation="90"/>
    </xf>
    <xf numFmtId="0" fontId="2" fillId="18" borderId="24" xfId="0" applyFont="1" applyFill="1" applyBorder="1" applyAlignment="1">
      <alignment horizontal="center" vertical="center"/>
    </xf>
    <xf numFmtId="0" fontId="2" fillId="18" borderId="7" xfId="0" applyFont="1" applyFill="1" applyBorder="1" applyAlignment="1">
      <alignment horizontal="center" vertical="center"/>
    </xf>
    <xf numFmtId="0" fontId="1" fillId="20" borderId="20" xfId="0" applyFont="1" applyFill="1" applyBorder="1" applyAlignment="1">
      <alignment horizontal="center" vertical="center"/>
    </xf>
    <xf numFmtId="0" fontId="1" fillId="20" borderId="27" xfId="0" applyFont="1" applyFill="1" applyBorder="1" applyAlignment="1">
      <alignment horizontal="center" vertical="center"/>
    </xf>
    <xf numFmtId="0" fontId="1" fillId="29" borderId="8" xfId="0" applyFont="1" applyFill="1" applyBorder="1" applyAlignment="1">
      <alignment horizontal="center" vertical="center"/>
    </xf>
    <xf numFmtId="0" fontId="1" fillId="29" borderId="0" xfId="0" applyFont="1" applyFill="1" applyAlignment="1">
      <alignment horizontal="center" vertical="center"/>
    </xf>
    <xf numFmtId="0" fontId="1" fillId="29" borderId="3" xfId="0" applyFont="1" applyFill="1" applyBorder="1" applyAlignment="1">
      <alignment horizontal="center" vertical="center"/>
    </xf>
    <xf numFmtId="0" fontId="1" fillId="29" borderId="2" xfId="0" applyFont="1" applyFill="1" applyBorder="1" applyAlignment="1">
      <alignment horizontal="center" vertical="center"/>
    </xf>
    <xf numFmtId="0" fontId="1" fillId="29" borderId="9" xfId="0" applyFont="1" applyFill="1" applyBorder="1" applyAlignment="1">
      <alignment horizontal="center" vertical="center"/>
    </xf>
    <xf numFmtId="0" fontId="1" fillId="30" borderId="2" xfId="0" applyFont="1" applyFill="1" applyBorder="1" applyAlignment="1">
      <alignment horizontal="center" vertical="center"/>
    </xf>
    <xf numFmtId="0" fontId="1" fillId="30" borderId="0" xfId="0" applyFont="1" applyFill="1" applyAlignment="1">
      <alignment horizontal="center" vertical="center"/>
    </xf>
    <xf numFmtId="0" fontId="1" fillId="30" borderId="9" xfId="0" applyFont="1" applyFill="1" applyBorder="1" applyAlignment="1">
      <alignment horizontal="center" vertical="center"/>
    </xf>
    <xf numFmtId="0" fontId="3" fillId="25" borderId="24" xfId="0" applyFont="1" applyFill="1" applyBorder="1" applyAlignment="1">
      <alignment horizontal="center" vertical="center"/>
    </xf>
    <xf numFmtId="0" fontId="3" fillId="25" borderId="6" xfId="0" applyFont="1" applyFill="1" applyBorder="1" applyAlignment="1">
      <alignment horizontal="center" vertical="center"/>
    </xf>
    <xf numFmtId="0" fontId="3" fillId="25" borderId="25" xfId="0" applyFont="1" applyFill="1" applyBorder="1" applyAlignment="1">
      <alignment horizontal="center" vertical="center"/>
    </xf>
    <xf numFmtId="0" fontId="1" fillId="20" borderId="26" xfId="0" applyFont="1" applyFill="1" applyBorder="1" applyAlignment="1">
      <alignment horizontal="center" vertical="center"/>
    </xf>
    <xf numFmtId="0" fontId="1" fillId="20" borderId="18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2" fillId="18" borderId="5" xfId="0" applyFont="1" applyFill="1" applyBorder="1" applyAlignment="1">
      <alignment horizontal="center" vertical="center"/>
    </xf>
    <xf numFmtId="0" fontId="2" fillId="18" borderId="6" xfId="0" applyFont="1" applyFill="1" applyBorder="1" applyAlignment="1">
      <alignment horizontal="center" vertical="center"/>
    </xf>
    <xf numFmtId="0" fontId="2" fillId="14" borderId="24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2" fillId="14" borderId="25" xfId="0" applyFont="1" applyFill="1" applyBorder="1" applyAlignment="1">
      <alignment horizontal="center" vertical="center"/>
    </xf>
    <xf numFmtId="0" fontId="3" fillId="17" borderId="24" xfId="0" applyFont="1" applyFill="1" applyBorder="1" applyAlignment="1">
      <alignment horizontal="center" vertical="center"/>
    </xf>
    <xf numFmtId="0" fontId="3" fillId="17" borderId="6" xfId="0" applyFont="1" applyFill="1" applyBorder="1" applyAlignment="1">
      <alignment horizontal="center" vertical="center"/>
    </xf>
    <xf numFmtId="0" fontId="3" fillId="17" borderId="25" xfId="0" applyFont="1" applyFill="1" applyBorder="1" applyAlignment="1">
      <alignment horizontal="center" vertical="center"/>
    </xf>
    <xf numFmtId="0" fontId="1" fillId="30" borderId="8" xfId="0" applyFont="1" applyFill="1" applyBorder="1" applyAlignment="1">
      <alignment horizontal="center" vertical="center"/>
    </xf>
    <xf numFmtId="0" fontId="1" fillId="30" borderId="3" xfId="0" applyFont="1" applyFill="1" applyBorder="1" applyAlignment="1">
      <alignment horizontal="center" vertical="center"/>
    </xf>
    <xf numFmtId="0" fontId="1" fillId="30" borderId="17" xfId="0" applyFont="1" applyFill="1" applyBorder="1" applyAlignment="1">
      <alignment horizontal="center" vertical="center"/>
    </xf>
    <xf numFmtId="0" fontId="1" fillId="30" borderId="12" xfId="0" applyFont="1" applyFill="1" applyBorder="1" applyAlignment="1">
      <alignment horizontal="center" vertical="center"/>
    </xf>
    <xf numFmtId="0" fontId="1" fillId="30" borderId="13" xfId="0" applyFont="1" applyFill="1" applyBorder="1" applyAlignment="1">
      <alignment horizontal="center" vertical="center"/>
    </xf>
    <xf numFmtId="0" fontId="2" fillId="28" borderId="5" xfId="0" applyFont="1" applyFill="1" applyBorder="1" applyAlignment="1">
      <alignment horizontal="center" vertical="center"/>
    </xf>
    <xf numFmtId="0" fontId="2" fillId="28" borderId="6" xfId="0" applyFont="1" applyFill="1" applyBorder="1" applyAlignment="1">
      <alignment horizontal="center" vertical="center"/>
    </xf>
    <xf numFmtId="0" fontId="2" fillId="28" borderId="7" xfId="0" applyFont="1" applyFill="1" applyBorder="1" applyAlignment="1">
      <alignment horizontal="center" vertical="center"/>
    </xf>
    <xf numFmtId="0" fontId="1" fillId="30" borderId="11" xfId="0" applyFont="1" applyFill="1" applyBorder="1" applyAlignment="1">
      <alignment horizontal="center" vertical="center"/>
    </xf>
    <xf numFmtId="0" fontId="1" fillId="30" borderId="30" xfId="0" applyFont="1" applyFill="1" applyBorder="1" applyAlignment="1">
      <alignment horizontal="center" vertical="center"/>
    </xf>
    <xf numFmtId="0" fontId="1" fillId="29" borderId="28" xfId="0" applyFont="1" applyFill="1" applyBorder="1" applyAlignment="1">
      <alignment horizontal="center" vertical="center"/>
    </xf>
    <xf numFmtId="0" fontId="1" fillId="29" borderId="19" xfId="0" applyFont="1" applyFill="1" applyBorder="1" applyAlignment="1">
      <alignment horizontal="center" vertical="center"/>
    </xf>
    <xf numFmtId="0" fontId="1" fillId="29" borderId="23" xfId="0" applyFont="1" applyFill="1" applyBorder="1" applyAlignment="1">
      <alignment horizontal="center" vertical="center"/>
    </xf>
    <xf numFmtId="0" fontId="3" fillId="27" borderId="26" xfId="0" applyFont="1" applyFill="1" applyBorder="1" applyAlignment="1">
      <alignment horizontal="center" vertical="center"/>
    </xf>
    <xf numFmtId="0" fontId="3" fillId="27" borderId="18" xfId="0" applyFont="1" applyFill="1" applyBorder="1" applyAlignment="1">
      <alignment horizontal="center" vertical="center"/>
    </xf>
    <xf numFmtId="0" fontId="3" fillId="27" borderId="22" xfId="0" applyFont="1" applyFill="1" applyBorder="1" applyAlignment="1">
      <alignment horizontal="center" vertical="center"/>
    </xf>
    <xf numFmtId="0" fontId="3" fillId="27" borderId="20" xfId="0" applyFont="1" applyFill="1" applyBorder="1" applyAlignment="1">
      <alignment horizontal="center" vertical="center"/>
    </xf>
    <xf numFmtId="0" fontId="3" fillId="27" borderId="27" xfId="0" applyFont="1" applyFill="1" applyBorder="1" applyAlignment="1">
      <alignment horizontal="center" vertical="center"/>
    </xf>
    <xf numFmtId="0" fontId="1" fillId="29" borderId="21" xfId="0" applyFont="1" applyFill="1" applyBorder="1" applyAlignment="1">
      <alignment horizontal="center" vertical="center"/>
    </xf>
    <xf numFmtId="0" fontId="1" fillId="29" borderId="29" xfId="0" applyFont="1" applyFill="1" applyBorder="1" applyAlignment="1">
      <alignment horizontal="center" vertical="center"/>
    </xf>
  </cellXfs>
  <cellStyles count="2">
    <cellStyle name="Normal" xfId="0" builtinId="0"/>
    <cellStyle name="Style 1" xfId="1" xr:uid="{F6356616-3EFA-4F64-BE8D-795666BF6887}"/>
  </cellStyles>
  <dxfs count="33">
    <dxf>
      <font>
        <strike val="0"/>
        <color rgb="FF00B050"/>
      </font>
    </dxf>
    <dxf>
      <font>
        <strike val="0"/>
        <color rgb="FFFF0000"/>
      </font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66FF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rebuchet MS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rebuchet MS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rebuchet MS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rebuchet MS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rebuchet MS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rebuchet MS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rebuchet MS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rebuchet MS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rebuchet MS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rebuchet MS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rebuchet MS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rebuchet MS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rebuchet MS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rebuchet MS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rebuchet MS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rebuchet MS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rebuchet MS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rebuchet MS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rebuchet MS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family val="2"/>
        <charset val="16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scheme val="minor"/>
      </font>
    </dxf>
  </dxfs>
  <tableStyles count="0" defaultTableStyle="TableStyleMedium2" defaultPivotStyle="PivotStyleLight16"/>
  <colors>
    <mruColors>
      <color rgb="FFFF66FF"/>
      <color rgb="FFFF66CC"/>
      <color rgb="FFBE43FF"/>
      <color rgb="FFFF00FF"/>
      <color rgb="FFFF22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ms" displayName="teams" ref="A1:C11" totalsRowShown="0" headerRowDxfId="32" dataDxfId="31">
  <autoFilter ref="A1:C11" xr:uid="{00000000-0009-0000-0100-000001000000}"/>
  <tableColumns count="3">
    <tableColumn id="1" xr3:uid="{00000000-0010-0000-0000-000001000000}" name="id" dataDxfId="30"/>
    <tableColumn id="2" xr3:uid="{00000000-0010-0000-0000-000002000000}" name="name" dataDxfId="29"/>
    <tableColumn id="3" xr3:uid="{00000000-0010-0000-0000-000003000000}" name="char" dataDxfId="2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fields" displayName="fields" ref="A1:E6" totalsRowShown="0" headerRowDxfId="27" dataDxfId="26">
  <autoFilter ref="A1:E6" xr:uid="{00000000-0009-0000-0100-000003000000}"/>
  <tableColumns count="5">
    <tableColumn id="1" xr3:uid="{00000000-0010-0000-0100-000001000000}" name="field" dataDxfId="25"/>
    <tableColumn id="2" xr3:uid="{00000000-0010-0000-0100-000002000000}" name="name" dataDxfId="24"/>
    <tableColumn id="3" xr3:uid="{00000000-0010-0000-0100-000003000000}" name="color" dataDxfId="23"/>
    <tableColumn id="4" xr3:uid="{00000000-0010-0000-0100-000004000000}" name="column" dataDxfId="22"/>
    <tableColumn id="5" xr3:uid="{00000000-0010-0000-0100-000005000000}" name="char" dataDxfId="2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games" displayName="games" ref="A1:L241" totalsRowShown="0" headerRowDxfId="20" dataDxfId="19">
  <autoFilter ref="A1:L241" xr:uid="{00000000-0009-0000-0100-000004000000}"/>
  <tableColumns count="12">
    <tableColumn id="1" xr3:uid="{00000000-0010-0000-0200-000001000000}" name="r" dataDxfId="18"/>
    <tableColumn id="2" xr3:uid="{00000000-0010-0000-0200-000002000000}" name="field" dataDxfId="17"/>
    <tableColumn id="10" xr3:uid="{00000000-0010-0000-0200-00000A000000}" name="col" dataDxfId="16">
      <calculatedColumnFormula>INDEX(fields[column],MATCH(games[[#This Row],[field]],fields[field],0))</calculatedColumnFormula>
    </tableColumn>
    <tableColumn id="11" xr3:uid="{00000000-0010-0000-0200-00000B000000}" name="pair" dataDxfId="15">
      <calculatedColumnFormula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calculatedColumnFormula>
    </tableColumn>
    <tableColumn id="12" xr3:uid="{00000000-0010-0000-0200-00000C000000}" name="tag" dataDxfId="14">
      <calculatedColumnFormula>IF(LEN(games[[#This Row],[pair]])=3,MID(games[[#This Row],[pair]],2,1),"")</calculatedColumnFormula>
    </tableColumn>
    <tableColumn id="3" xr3:uid="{00000000-0010-0000-0200-000003000000}" name="ind" dataDxfId="13">
      <calculatedColumnFormula array="1">MATCH(1,(pages!$A$1:$A$957=games[[#This Row],[r]])*(pages!$B$1:$B$957=games[[#This Row],[field]]),0)</calculatedColumnFormula>
    </tableColumn>
    <tableColumn id="4" xr3:uid="{00000000-0010-0000-0200-000004000000}" name="played" dataDxfId="12">
      <calculatedColumnFormula>INDEX(pages!$L$1:$L$957,games[[#This Row],[ind]])</calculatedColumnFormula>
    </tableColumn>
    <tableColumn id="6" xr3:uid="{00000000-0010-0000-0200-000006000000}" name="th" dataDxfId="11">
      <calculatedColumnFormula>IF(LEN(games[[#This Row],[pair]])=3,INDEX(teams[id],MATCH(LEFT(games[[#This Row],[pair]]),teams[char],0)),"")</calculatedColumnFormula>
    </tableColumn>
    <tableColumn id="7" xr3:uid="{00000000-0010-0000-0200-000007000000}" name="ta" dataDxfId="10">
      <calculatedColumnFormula>IF(LEN(games[[#This Row],[pair]])=3,INDEX(teams[id],MATCH(RIGHT(games[[#This Row],[pair]]),teams[char],0)),"")</calculatedColumnFormula>
    </tableColumn>
    <tableColumn id="8" xr3:uid="{00000000-0010-0000-0200-000008000000}" name="sh" dataDxfId="9">
      <calculatedColumnFormula>IF(games[[#This Row],[played]],INDEX(pages!$I$1:$I$759,games[[#This Row],[ind]]),"")</calculatedColumnFormula>
    </tableColumn>
    <tableColumn id="9" xr3:uid="{00000000-0010-0000-0200-000009000000}" name="sa" dataDxfId="8">
      <calculatedColumnFormula>IF(games[[#This Row],[played]],INDEX(pages!$J$1:$J$759,games[[#This Row],[ind]]),"")</calculatedColumnFormula>
    </tableColumn>
    <tableColumn id="5" xr3:uid="{00000000-0010-0000-0200-000005000000}" name="sport" dataDxfId="7">
      <calculatedColumnFormula>INDEX(fields[char],MATCH(games[[#This Row],[field]],fields[field],0))&amp;IF(games[[#This Row],[tag]]="-","","("&amp;games[[#This Row],[tag]]&amp;")")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rebuchet MS">
      <a:majorFont>
        <a:latin typeface="Trebuchet MS" panose="020B0603020202020204"/>
        <a:ea typeface=""/>
        <a:cs typeface=""/>
        <a:font script="Jpan" typeface="HGｺﾞｼｯｸM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HG丸ｺﾞｼｯｸM-PRO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T18"/>
  <sheetViews>
    <sheetView zoomScale="115" zoomScaleNormal="115" zoomScaleSheetLayoutView="100" workbookViewId="0">
      <selection activeCell="H7" sqref="H7"/>
    </sheetView>
  </sheetViews>
  <sheetFormatPr defaultColWidth="5.88671875" defaultRowHeight="18.75" customHeight="1" x14ac:dyDescent="0.3"/>
  <cols>
    <col min="1" max="29" width="5.88671875" style="2"/>
    <col min="30" max="42" width="5.88671875" style="126"/>
    <col min="43" max="16384" width="5.88671875" style="2"/>
  </cols>
  <sheetData>
    <row r="1" spans="1:46" ht="18.75" customHeight="1" thickBot="1" x14ac:dyDescent="0.35">
      <c r="A1" s="2" t="s">
        <v>67</v>
      </c>
    </row>
    <row r="2" spans="1:46" ht="18.75" customHeight="1" thickBot="1" x14ac:dyDescent="0.35">
      <c r="B2" s="181">
        <v>46244</v>
      </c>
      <c r="C2" s="182"/>
      <c r="D2" s="182"/>
      <c r="E2" s="182"/>
      <c r="F2" s="182"/>
      <c r="G2" s="183"/>
      <c r="I2" s="181">
        <f>B2+1</f>
        <v>46245</v>
      </c>
      <c r="J2" s="182"/>
      <c r="K2" s="182"/>
      <c r="L2" s="182"/>
      <c r="M2" s="182"/>
      <c r="N2" s="183"/>
      <c r="P2" s="181">
        <f>B2+2</f>
        <v>46246</v>
      </c>
      <c r="Q2" s="182"/>
      <c r="R2" s="182"/>
      <c r="S2" s="182"/>
      <c r="T2" s="182"/>
      <c r="U2" s="183"/>
      <c r="W2" s="181">
        <f>B2+3</f>
        <v>46247</v>
      </c>
      <c r="X2" s="182"/>
      <c r="Y2" s="182"/>
      <c r="Z2" s="182"/>
      <c r="AA2" s="182"/>
      <c r="AB2" s="183"/>
      <c r="AD2" s="178"/>
      <c r="AE2" s="178"/>
      <c r="AF2" s="178"/>
      <c r="AG2" s="178"/>
      <c r="AH2" s="143"/>
      <c r="AI2" s="178"/>
      <c r="AJ2" s="178"/>
      <c r="AK2" s="143"/>
      <c r="AL2" s="178"/>
      <c r="AM2" s="178"/>
      <c r="AN2" s="143"/>
      <c r="AO2" s="142"/>
      <c r="AP2" s="143"/>
      <c r="AQ2" s="142"/>
      <c r="AR2" s="144"/>
      <c r="AS2" s="142"/>
      <c r="AT2" s="144"/>
    </row>
    <row r="3" spans="1:46" ht="18.75" customHeight="1" thickTop="1" x14ac:dyDescent="0.3">
      <c r="A3" s="2">
        <v>1</v>
      </c>
      <c r="B3" s="179" t="s">
        <v>6</v>
      </c>
      <c r="C3" s="187" t="s">
        <v>52</v>
      </c>
      <c r="D3" s="187"/>
      <c r="E3" s="187"/>
      <c r="F3" s="187"/>
      <c r="G3" s="188"/>
      <c r="H3" s="2">
        <v>5</v>
      </c>
      <c r="I3" s="179" t="s">
        <v>6</v>
      </c>
      <c r="J3" s="91"/>
      <c r="K3" s="97"/>
      <c r="L3" s="98"/>
      <c r="M3" s="99"/>
      <c r="N3" s="92"/>
      <c r="O3" s="2">
        <v>9</v>
      </c>
      <c r="P3" s="179" t="s">
        <v>6</v>
      </c>
      <c r="Q3" s="91"/>
      <c r="R3" s="97"/>
      <c r="S3" s="98"/>
      <c r="T3" s="99"/>
      <c r="U3" s="92"/>
      <c r="V3" s="2">
        <v>13</v>
      </c>
      <c r="W3" s="179" t="s">
        <v>6</v>
      </c>
      <c r="X3" s="91"/>
      <c r="Y3" s="97"/>
      <c r="Z3" s="98"/>
      <c r="AA3" s="99"/>
      <c r="AB3" s="92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4"/>
      <c r="AR3" s="144"/>
      <c r="AS3" s="144"/>
      <c r="AT3" s="144"/>
    </row>
    <row r="4" spans="1:46" ht="18.75" customHeight="1" thickBot="1" x14ac:dyDescent="0.35">
      <c r="A4" s="2">
        <v>2</v>
      </c>
      <c r="B4" s="184"/>
      <c r="C4" s="95"/>
      <c r="D4" s="103"/>
      <c r="E4" s="104"/>
      <c r="F4" s="105"/>
      <c r="G4" s="96"/>
      <c r="H4" s="2">
        <v>6</v>
      </c>
      <c r="I4" s="184"/>
      <c r="J4" s="95"/>
      <c r="K4" s="103"/>
      <c r="L4" s="104"/>
      <c r="M4" s="105"/>
      <c r="N4" s="96"/>
      <c r="O4" s="2">
        <v>10</v>
      </c>
      <c r="P4" s="184"/>
      <c r="Q4" s="95"/>
      <c r="R4" s="103"/>
      <c r="S4" s="104"/>
      <c r="T4" s="105"/>
      <c r="U4" s="96"/>
      <c r="V4" s="2">
        <v>14</v>
      </c>
      <c r="W4" s="184"/>
      <c r="X4" s="95"/>
      <c r="Y4" s="103"/>
      <c r="Z4" s="104"/>
      <c r="AA4" s="105"/>
      <c r="AB4" s="96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4"/>
      <c r="AR4" s="144"/>
      <c r="AS4" s="144"/>
      <c r="AT4" s="144"/>
    </row>
    <row r="5" spans="1:46" ht="18.75" customHeight="1" thickTop="1" x14ac:dyDescent="0.3">
      <c r="A5" s="2">
        <v>3</v>
      </c>
      <c r="B5" s="179" t="s">
        <v>68</v>
      </c>
      <c r="C5" s="91"/>
      <c r="D5" s="97"/>
      <c r="E5" s="98"/>
      <c r="F5" s="99"/>
      <c r="G5" s="92"/>
      <c r="H5" s="2">
        <v>7</v>
      </c>
      <c r="I5" s="185" t="s">
        <v>68</v>
      </c>
      <c r="J5" s="91"/>
      <c r="K5" s="97"/>
      <c r="L5" s="98"/>
      <c r="M5" s="99"/>
      <c r="N5" s="92"/>
      <c r="O5" s="2">
        <v>11</v>
      </c>
      <c r="P5" s="179" t="s">
        <v>68</v>
      </c>
      <c r="Q5" s="91"/>
      <c r="R5" s="97"/>
      <c r="S5" s="98"/>
      <c r="T5" s="99"/>
      <c r="U5" s="92"/>
      <c r="V5" s="2">
        <v>15</v>
      </c>
      <c r="W5" s="179" t="s">
        <v>68</v>
      </c>
      <c r="X5" s="91"/>
      <c r="Y5" s="97"/>
      <c r="Z5" s="98"/>
      <c r="AA5" s="99"/>
      <c r="AB5" s="92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4"/>
      <c r="AR5" s="144"/>
      <c r="AS5" s="144"/>
      <c r="AT5" s="144"/>
    </row>
    <row r="6" spans="1:46" ht="18.75" customHeight="1" thickBot="1" x14ac:dyDescent="0.35">
      <c r="A6" s="2">
        <v>4</v>
      </c>
      <c r="B6" s="180"/>
      <c r="C6" s="93"/>
      <c r="D6" s="100"/>
      <c r="E6" s="101"/>
      <c r="F6" s="102"/>
      <c r="G6" s="94"/>
      <c r="H6" s="2">
        <v>8</v>
      </c>
      <c r="I6" s="186"/>
      <c r="J6" s="93"/>
      <c r="K6" s="100"/>
      <c r="L6" s="101"/>
      <c r="M6" s="102"/>
      <c r="N6" s="94"/>
      <c r="O6" s="2">
        <v>12</v>
      </c>
      <c r="P6" s="180"/>
      <c r="Q6" s="93"/>
      <c r="R6" s="100"/>
      <c r="S6" s="101"/>
      <c r="T6" s="102"/>
      <c r="U6" s="94"/>
      <c r="V6" s="2">
        <v>16</v>
      </c>
      <c r="W6" s="180"/>
      <c r="X6" s="93"/>
      <c r="Y6" s="100"/>
      <c r="Z6" s="101"/>
      <c r="AA6" s="102"/>
      <c r="AB6" s="94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4"/>
      <c r="AR6" s="144"/>
      <c r="AS6" s="144"/>
      <c r="AT6" s="144"/>
    </row>
    <row r="7" spans="1:46" ht="18.75" customHeight="1" thickBot="1" x14ac:dyDescent="0.35"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4"/>
      <c r="AR7" s="144"/>
      <c r="AS7" s="144"/>
      <c r="AT7" s="144"/>
    </row>
    <row r="8" spans="1:46" ht="18.75" customHeight="1" thickBot="1" x14ac:dyDescent="0.35">
      <c r="B8" s="181">
        <f>B2+4</f>
        <v>46248</v>
      </c>
      <c r="C8" s="182"/>
      <c r="D8" s="182"/>
      <c r="E8" s="182"/>
      <c r="F8" s="182"/>
      <c r="G8" s="183"/>
      <c r="I8" s="181">
        <f>B2+5</f>
        <v>46249</v>
      </c>
      <c r="J8" s="182"/>
      <c r="K8" s="182"/>
      <c r="L8" s="182"/>
      <c r="M8" s="182"/>
      <c r="N8" s="183"/>
      <c r="P8" s="181">
        <f>B2+6</f>
        <v>46250</v>
      </c>
      <c r="Q8" s="182"/>
      <c r="R8" s="182"/>
      <c r="S8" s="182"/>
      <c r="T8" s="182"/>
      <c r="U8" s="183"/>
      <c r="W8" s="181">
        <f>B2+7</f>
        <v>46251</v>
      </c>
      <c r="X8" s="182"/>
      <c r="Y8" s="182"/>
      <c r="Z8" s="182"/>
      <c r="AA8" s="182"/>
      <c r="AB8" s="18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4"/>
      <c r="AR8" s="144"/>
      <c r="AS8" s="144"/>
      <c r="AT8" s="144"/>
    </row>
    <row r="9" spans="1:46" ht="18.75" customHeight="1" thickTop="1" x14ac:dyDescent="0.3">
      <c r="A9" s="2">
        <v>17</v>
      </c>
      <c r="B9" s="179" t="s">
        <v>6</v>
      </c>
      <c r="C9" s="91"/>
      <c r="D9" s="97"/>
      <c r="E9" s="98"/>
      <c r="F9" s="99"/>
      <c r="G9" s="92"/>
      <c r="H9" s="2">
        <v>21</v>
      </c>
      <c r="I9" s="179" t="s">
        <v>6</v>
      </c>
      <c r="J9" s="91"/>
      <c r="K9" s="97"/>
      <c r="L9" s="98"/>
      <c r="M9" s="99"/>
      <c r="N9" s="92"/>
      <c r="O9" s="2">
        <v>25</v>
      </c>
      <c r="P9" s="179" t="s">
        <v>6</v>
      </c>
      <c r="Q9" s="91"/>
      <c r="R9" s="97"/>
      <c r="S9" s="98"/>
      <c r="T9" s="99"/>
      <c r="U9" s="92"/>
      <c r="V9" s="2">
        <v>29</v>
      </c>
      <c r="W9" s="179" t="s">
        <v>6</v>
      </c>
      <c r="X9" s="91"/>
      <c r="Y9" s="97"/>
      <c r="Z9" s="98"/>
      <c r="AA9" s="99"/>
      <c r="AB9" s="92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4"/>
      <c r="AR9" s="144"/>
      <c r="AS9" s="144"/>
      <c r="AT9" s="144"/>
    </row>
    <row r="10" spans="1:46" ht="18.75" customHeight="1" thickBot="1" x14ac:dyDescent="0.35">
      <c r="A10" s="2">
        <v>18</v>
      </c>
      <c r="B10" s="184"/>
      <c r="C10" s="95"/>
      <c r="D10" s="103"/>
      <c r="E10" s="104"/>
      <c r="F10" s="105"/>
      <c r="G10" s="96"/>
      <c r="H10" s="2">
        <v>22</v>
      </c>
      <c r="I10" s="184"/>
      <c r="J10" s="95"/>
      <c r="K10" s="103"/>
      <c r="L10" s="104"/>
      <c r="M10" s="105"/>
      <c r="N10" s="96"/>
      <c r="O10" s="2">
        <v>26</v>
      </c>
      <c r="P10" s="184"/>
      <c r="Q10" s="95"/>
      <c r="R10" s="103"/>
      <c r="S10" s="104"/>
      <c r="T10" s="105"/>
      <c r="U10" s="96"/>
      <c r="V10" s="2">
        <v>30</v>
      </c>
      <c r="W10" s="184"/>
      <c r="X10" s="95"/>
      <c r="Y10" s="103"/>
      <c r="Z10" s="104"/>
      <c r="AA10" s="105"/>
      <c r="AB10" s="96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4"/>
      <c r="AR10" s="144"/>
      <c r="AS10" s="144"/>
      <c r="AT10" s="144"/>
    </row>
    <row r="11" spans="1:46" ht="18.75" customHeight="1" thickTop="1" x14ac:dyDescent="0.3">
      <c r="A11" s="2">
        <v>19</v>
      </c>
      <c r="B11" s="179" t="s">
        <v>68</v>
      </c>
      <c r="C11" s="91"/>
      <c r="D11" s="97"/>
      <c r="E11" s="98"/>
      <c r="F11" s="99"/>
      <c r="G11" s="92"/>
      <c r="H11" s="2">
        <v>23</v>
      </c>
      <c r="I11" s="179" t="s">
        <v>68</v>
      </c>
      <c r="J11" s="91"/>
      <c r="K11" s="97"/>
      <c r="L11" s="98"/>
      <c r="M11" s="99"/>
      <c r="N11" s="92"/>
      <c r="O11" s="2">
        <v>27</v>
      </c>
      <c r="P11" s="179" t="s">
        <v>68</v>
      </c>
      <c r="Q11" s="91"/>
      <c r="R11" s="97"/>
      <c r="S11" s="98"/>
      <c r="T11" s="99"/>
      <c r="U11" s="92"/>
      <c r="V11" s="2">
        <v>31</v>
      </c>
      <c r="W11" s="179" t="s">
        <v>68</v>
      </c>
      <c r="X11" s="91"/>
      <c r="Y11" s="97"/>
      <c r="Z11" s="98"/>
      <c r="AA11" s="99"/>
      <c r="AB11" s="92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4"/>
      <c r="AR11" s="144"/>
      <c r="AS11" s="144"/>
      <c r="AT11" s="144"/>
    </row>
    <row r="12" spans="1:46" ht="18.75" customHeight="1" thickBot="1" x14ac:dyDescent="0.35">
      <c r="A12" s="2">
        <v>20</v>
      </c>
      <c r="B12" s="180"/>
      <c r="C12" s="93"/>
      <c r="D12" s="100"/>
      <c r="E12" s="101"/>
      <c r="F12" s="102"/>
      <c r="G12" s="94"/>
      <c r="H12" s="2">
        <v>24</v>
      </c>
      <c r="I12" s="180"/>
      <c r="J12" s="93"/>
      <c r="K12" s="100"/>
      <c r="L12" s="101"/>
      <c r="M12" s="102"/>
      <c r="N12" s="94"/>
      <c r="O12" s="2">
        <v>28</v>
      </c>
      <c r="P12" s="180"/>
      <c r="Q12" s="93"/>
      <c r="R12" s="100"/>
      <c r="S12" s="101"/>
      <c r="T12" s="102"/>
      <c r="U12" s="94"/>
      <c r="V12" s="2">
        <v>32</v>
      </c>
      <c r="W12" s="180"/>
      <c r="X12" s="93"/>
      <c r="Y12" s="100"/>
      <c r="Z12" s="101"/>
      <c r="AA12" s="102"/>
      <c r="AB12" s="94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4"/>
      <c r="AR12" s="144"/>
      <c r="AS12" s="144"/>
      <c r="AT12" s="144"/>
    </row>
    <row r="13" spans="1:46" ht="18.75" customHeight="1" thickBot="1" x14ac:dyDescent="0.35"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4"/>
      <c r="AR13" s="144"/>
      <c r="AS13" s="144"/>
      <c r="AT13" s="144"/>
    </row>
    <row r="14" spans="1:46" ht="18.75" customHeight="1" thickBot="1" x14ac:dyDescent="0.35">
      <c r="B14" s="181">
        <f>B2+8</f>
        <v>46252</v>
      </c>
      <c r="C14" s="182"/>
      <c r="D14" s="182"/>
      <c r="E14" s="182"/>
      <c r="F14" s="182"/>
      <c r="G14" s="183"/>
      <c r="I14" s="181">
        <f>B2+9</f>
        <v>46253</v>
      </c>
      <c r="J14" s="182"/>
      <c r="K14" s="182"/>
      <c r="L14" s="182"/>
      <c r="M14" s="182"/>
      <c r="N14" s="183"/>
      <c r="P14" s="181">
        <f>B2+10</f>
        <v>46254</v>
      </c>
      <c r="Q14" s="182"/>
      <c r="R14" s="182"/>
      <c r="S14" s="182"/>
      <c r="T14" s="182"/>
      <c r="U14" s="183"/>
      <c r="W14" s="181">
        <f>B2+11</f>
        <v>46255</v>
      </c>
      <c r="X14" s="182"/>
      <c r="Y14" s="182"/>
      <c r="Z14" s="182"/>
      <c r="AA14" s="182"/>
      <c r="AB14" s="18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4"/>
      <c r="AR14" s="144"/>
      <c r="AS14" s="144"/>
      <c r="AT14" s="144"/>
    </row>
    <row r="15" spans="1:46" ht="18.75" customHeight="1" thickTop="1" x14ac:dyDescent="0.3">
      <c r="A15" s="2">
        <v>33</v>
      </c>
      <c r="B15" s="179" t="s">
        <v>6</v>
      </c>
      <c r="C15" s="91"/>
      <c r="D15" s="97"/>
      <c r="E15" s="98"/>
      <c r="F15" s="99"/>
      <c r="G15" s="92"/>
      <c r="H15" s="2">
        <v>37</v>
      </c>
      <c r="I15" s="179" t="s">
        <v>6</v>
      </c>
      <c r="J15" s="91"/>
      <c r="K15" s="97"/>
      <c r="L15" s="98"/>
      <c r="M15" s="99"/>
      <c r="N15" s="92"/>
      <c r="O15" s="2">
        <v>41</v>
      </c>
      <c r="P15" s="179" t="s">
        <v>6</v>
      </c>
      <c r="Q15" s="91"/>
      <c r="R15" s="97"/>
      <c r="S15" s="98"/>
      <c r="T15" s="99"/>
      <c r="U15" s="92"/>
      <c r="V15" s="2">
        <v>45</v>
      </c>
      <c r="W15" s="179" t="s">
        <v>6</v>
      </c>
      <c r="X15" s="91"/>
      <c r="Y15" s="97"/>
      <c r="Z15" s="98"/>
      <c r="AA15" s="99"/>
      <c r="AB15" s="92"/>
      <c r="AC15" s="127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4"/>
      <c r="AR15" s="144"/>
      <c r="AS15" s="144"/>
      <c r="AT15" s="144"/>
    </row>
    <row r="16" spans="1:46" ht="18.75" customHeight="1" thickBot="1" x14ac:dyDescent="0.35">
      <c r="A16" s="2">
        <v>34</v>
      </c>
      <c r="B16" s="184"/>
      <c r="C16" s="95"/>
      <c r="D16" s="103"/>
      <c r="E16" s="104"/>
      <c r="F16" s="105"/>
      <c r="G16" s="96"/>
      <c r="H16" s="2">
        <v>38</v>
      </c>
      <c r="I16" s="184"/>
      <c r="J16" s="95"/>
      <c r="K16" s="103"/>
      <c r="L16" s="104"/>
      <c r="M16" s="105"/>
      <c r="N16" s="96"/>
      <c r="O16" s="2">
        <v>42</v>
      </c>
      <c r="P16" s="184"/>
      <c r="Q16" s="95"/>
      <c r="R16" s="103"/>
      <c r="S16" s="104"/>
      <c r="T16" s="105"/>
      <c r="U16" s="96"/>
      <c r="V16" s="2">
        <v>46</v>
      </c>
      <c r="W16" s="184"/>
      <c r="X16" s="95"/>
      <c r="Y16" s="103"/>
      <c r="Z16" s="104"/>
      <c r="AA16" s="105"/>
      <c r="AB16" s="96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4"/>
      <c r="AR16" s="144"/>
      <c r="AS16" s="144"/>
      <c r="AT16" s="144"/>
    </row>
    <row r="17" spans="1:46" ht="18.75" customHeight="1" thickTop="1" x14ac:dyDescent="0.3">
      <c r="A17" s="2">
        <v>35</v>
      </c>
      <c r="B17" s="179" t="s">
        <v>68</v>
      </c>
      <c r="C17" s="91"/>
      <c r="D17" s="97"/>
      <c r="E17" s="98"/>
      <c r="F17" s="99"/>
      <c r="G17" s="92"/>
      <c r="H17" s="2">
        <v>39</v>
      </c>
      <c r="I17" s="179" t="s">
        <v>68</v>
      </c>
      <c r="J17" s="91"/>
      <c r="K17" s="97"/>
      <c r="L17" s="98"/>
      <c r="M17" s="99"/>
      <c r="N17" s="92"/>
      <c r="O17" s="2">
        <v>43</v>
      </c>
      <c r="P17" s="179" t="s">
        <v>68</v>
      </c>
      <c r="Q17" s="91"/>
      <c r="R17" s="97"/>
      <c r="S17" s="98"/>
      <c r="T17" s="99"/>
      <c r="U17" s="92"/>
      <c r="V17" s="2">
        <v>47</v>
      </c>
      <c r="W17" s="179" t="s">
        <v>68</v>
      </c>
      <c r="X17" s="91"/>
      <c r="Y17" s="97"/>
      <c r="Z17" s="98"/>
      <c r="AA17" s="99"/>
      <c r="AB17" s="92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4"/>
      <c r="AR17" s="144"/>
      <c r="AS17" s="144"/>
      <c r="AT17" s="144"/>
    </row>
    <row r="18" spans="1:46" ht="18.75" customHeight="1" thickBot="1" x14ac:dyDescent="0.35">
      <c r="A18" s="2">
        <v>36</v>
      </c>
      <c r="B18" s="180"/>
      <c r="C18" s="93"/>
      <c r="D18" s="100"/>
      <c r="E18" s="101"/>
      <c r="F18" s="102"/>
      <c r="G18" s="94"/>
      <c r="H18" s="2">
        <v>40</v>
      </c>
      <c r="I18" s="180"/>
      <c r="J18" s="93"/>
      <c r="K18" s="100"/>
      <c r="L18" s="101"/>
      <c r="M18" s="102"/>
      <c r="N18" s="94"/>
      <c r="O18" s="2">
        <v>44</v>
      </c>
      <c r="P18" s="180"/>
      <c r="Q18" s="93"/>
      <c r="R18" s="100"/>
      <c r="S18" s="101"/>
      <c r="T18" s="102"/>
      <c r="U18" s="94"/>
      <c r="V18" s="2">
        <v>48</v>
      </c>
      <c r="W18" s="180"/>
      <c r="X18" s="93"/>
      <c r="Y18" s="100"/>
      <c r="Z18" s="101"/>
      <c r="AA18" s="102"/>
      <c r="AB18" s="94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4"/>
      <c r="AR18" s="144"/>
      <c r="AS18" s="144"/>
      <c r="AT18" s="144"/>
    </row>
  </sheetData>
  <mergeCells count="40">
    <mergeCell ref="B2:G2"/>
    <mergeCell ref="B3:B4"/>
    <mergeCell ref="B5:B6"/>
    <mergeCell ref="I2:N2"/>
    <mergeCell ref="I3:I4"/>
    <mergeCell ref="I5:I6"/>
    <mergeCell ref="C3:G3"/>
    <mergeCell ref="P2:U2"/>
    <mergeCell ref="P3:P4"/>
    <mergeCell ref="P5:P6"/>
    <mergeCell ref="I8:N8"/>
    <mergeCell ref="I9:I10"/>
    <mergeCell ref="B17:B18"/>
    <mergeCell ref="B14:G14"/>
    <mergeCell ref="B15:B16"/>
    <mergeCell ref="I11:I12"/>
    <mergeCell ref="B8:G8"/>
    <mergeCell ref="B9:B10"/>
    <mergeCell ref="B11:B12"/>
    <mergeCell ref="AL2:AM2"/>
    <mergeCell ref="W11:W12"/>
    <mergeCell ref="W14:AB14"/>
    <mergeCell ref="AD2:AG2"/>
    <mergeCell ref="W2:AB2"/>
    <mergeCell ref="W3:W4"/>
    <mergeCell ref="W5:W6"/>
    <mergeCell ref="W8:AB8"/>
    <mergeCell ref="W9:W10"/>
    <mergeCell ref="AI2:AJ2"/>
    <mergeCell ref="W15:W16"/>
    <mergeCell ref="W17:W18"/>
    <mergeCell ref="I17:I18"/>
    <mergeCell ref="P8:U8"/>
    <mergeCell ref="P9:P10"/>
    <mergeCell ref="P11:P12"/>
    <mergeCell ref="P17:P18"/>
    <mergeCell ref="I14:N14"/>
    <mergeCell ref="I15:I16"/>
    <mergeCell ref="P14:U14"/>
    <mergeCell ref="P15:P16"/>
  </mergeCells>
  <phoneticPr fontId="8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1"/>
  <sheetViews>
    <sheetView workbookViewId="0">
      <selection activeCell="E13" sqref="E13"/>
    </sheetView>
  </sheetViews>
  <sheetFormatPr defaultColWidth="9" defaultRowHeight="16.2" x14ac:dyDescent="0.35"/>
  <cols>
    <col min="1" max="1" width="4.44140625" style="1" customWidth="1"/>
    <col min="2" max="2" width="17" style="1" bestFit="1" customWidth="1"/>
    <col min="3" max="3" width="7.33203125" style="1" bestFit="1" customWidth="1"/>
    <col min="4" max="16384" width="9" style="1"/>
  </cols>
  <sheetData>
    <row r="1" spans="1:3" x14ac:dyDescent="0.35">
      <c r="A1" s="1" t="s">
        <v>0</v>
      </c>
      <c r="B1" s="1" t="s">
        <v>1</v>
      </c>
      <c r="C1" s="1" t="s">
        <v>37</v>
      </c>
    </row>
    <row r="2" spans="1:3" x14ac:dyDescent="0.35">
      <c r="A2" s="1">
        <v>1</v>
      </c>
      <c r="C2" s="39" t="s">
        <v>39</v>
      </c>
    </row>
    <row r="3" spans="1:3" x14ac:dyDescent="0.35">
      <c r="A3" s="1">
        <v>2</v>
      </c>
      <c r="C3" s="39" t="s">
        <v>40</v>
      </c>
    </row>
    <row r="4" spans="1:3" x14ac:dyDescent="0.35">
      <c r="A4" s="1">
        <v>3</v>
      </c>
      <c r="C4" s="39" t="s">
        <v>41</v>
      </c>
    </row>
    <row r="5" spans="1:3" x14ac:dyDescent="0.35">
      <c r="A5" s="1">
        <v>4</v>
      </c>
      <c r="C5" s="39" t="s">
        <v>42</v>
      </c>
    </row>
    <row r="6" spans="1:3" x14ac:dyDescent="0.35">
      <c r="A6" s="1">
        <v>5</v>
      </c>
      <c r="C6" s="39" t="s">
        <v>43</v>
      </c>
    </row>
    <row r="7" spans="1:3" x14ac:dyDescent="0.35">
      <c r="A7" s="1">
        <v>6</v>
      </c>
      <c r="C7" s="39" t="s">
        <v>44</v>
      </c>
    </row>
    <row r="8" spans="1:3" x14ac:dyDescent="0.35">
      <c r="A8" s="1">
        <v>7</v>
      </c>
      <c r="C8" s="39" t="s">
        <v>45</v>
      </c>
    </row>
    <row r="9" spans="1:3" x14ac:dyDescent="0.35">
      <c r="A9" s="1">
        <v>8</v>
      </c>
      <c r="C9" s="39" t="s">
        <v>46</v>
      </c>
    </row>
    <row r="10" spans="1:3" x14ac:dyDescent="0.35">
      <c r="A10" s="1">
        <v>9</v>
      </c>
      <c r="C10" s="39" t="s">
        <v>47</v>
      </c>
    </row>
    <row r="11" spans="1:3" x14ac:dyDescent="0.35">
      <c r="A11" s="1">
        <v>10</v>
      </c>
      <c r="C11" s="39" t="s">
        <v>38</v>
      </c>
    </row>
  </sheetData>
  <pageMargins left="0.7" right="0.7" top="0.75" bottom="0.75" header="0.3" footer="0.3"/>
  <pageSetup paperSize="9" orientation="portrait" r:id="rId1"/>
  <ignoredErrors>
    <ignoredError sqref="C2:C10" numberStoredAsText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6"/>
  <sheetViews>
    <sheetView workbookViewId="0"/>
  </sheetViews>
  <sheetFormatPr defaultColWidth="9" defaultRowHeight="16.2" x14ac:dyDescent="0.35"/>
  <cols>
    <col min="1" max="1" width="7.21875" style="1" bestFit="1" customWidth="1"/>
    <col min="2" max="2" width="13.88671875" style="1" bestFit="1" customWidth="1"/>
    <col min="3" max="3" width="8.109375" style="1" bestFit="1" customWidth="1"/>
    <col min="4" max="4" width="10" style="1" bestFit="1" customWidth="1"/>
    <col min="5" max="16384" width="9" style="1"/>
  </cols>
  <sheetData>
    <row r="1" spans="1:5" x14ac:dyDescent="0.35">
      <c r="A1" s="1" t="s">
        <v>2</v>
      </c>
      <c r="B1" s="1" t="s">
        <v>1</v>
      </c>
      <c r="C1" s="1" t="s">
        <v>7</v>
      </c>
      <c r="D1" s="1" t="s">
        <v>36</v>
      </c>
      <c r="E1" s="86" t="s">
        <v>37</v>
      </c>
    </row>
    <row r="2" spans="1:5" x14ac:dyDescent="0.35">
      <c r="A2" s="1" t="s">
        <v>3</v>
      </c>
      <c r="B2" s="1" t="s">
        <v>61</v>
      </c>
      <c r="C2" s="1" t="s">
        <v>8</v>
      </c>
      <c r="D2" s="1">
        <v>1</v>
      </c>
      <c r="E2" s="86" t="s">
        <v>56</v>
      </c>
    </row>
    <row r="3" spans="1:5" x14ac:dyDescent="0.35">
      <c r="A3" s="1" t="s">
        <v>4</v>
      </c>
      <c r="B3" s="1" t="s">
        <v>62</v>
      </c>
      <c r="C3" s="1" t="s">
        <v>9</v>
      </c>
      <c r="D3" s="1">
        <v>2</v>
      </c>
      <c r="E3" s="86" t="s">
        <v>56</v>
      </c>
    </row>
    <row r="4" spans="1:5" x14ac:dyDescent="0.35">
      <c r="A4" s="1" t="s">
        <v>5</v>
      </c>
      <c r="B4" s="1" t="s">
        <v>63</v>
      </c>
      <c r="C4" s="1" t="s">
        <v>10</v>
      </c>
      <c r="D4" s="1">
        <v>3</v>
      </c>
      <c r="E4" s="86" t="s">
        <v>57</v>
      </c>
    </row>
    <row r="5" spans="1:5" x14ac:dyDescent="0.35">
      <c r="A5" s="1" t="s">
        <v>53</v>
      </c>
      <c r="B5" s="1" t="s">
        <v>64</v>
      </c>
      <c r="C5" s="1" t="s">
        <v>11</v>
      </c>
      <c r="D5" s="1">
        <v>4</v>
      </c>
      <c r="E5" s="86" t="s">
        <v>55</v>
      </c>
    </row>
    <row r="6" spans="1:5" x14ac:dyDescent="0.35">
      <c r="A6" s="1" t="s">
        <v>54</v>
      </c>
      <c r="B6" s="1" t="s">
        <v>65</v>
      </c>
      <c r="C6" s="1" t="s">
        <v>12</v>
      </c>
      <c r="D6" s="1">
        <v>5</v>
      </c>
      <c r="E6" s="86" t="s">
        <v>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241"/>
  <sheetViews>
    <sheetView workbookViewId="0">
      <selection activeCell="D5" sqref="D5"/>
    </sheetView>
  </sheetViews>
  <sheetFormatPr defaultColWidth="9" defaultRowHeight="16.2" x14ac:dyDescent="0.35"/>
  <cols>
    <col min="1" max="1" width="4" style="1" bestFit="1" customWidth="1"/>
    <col min="2" max="2" width="7.21875" style="1" bestFit="1" customWidth="1"/>
    <col min="3" max="3" width="6" style="1" bestFit="1" customWidth="1"/>
    <col min="4" max="4" width="6.88671875" style="1" bestFit="1" customWidth="1"/>
    <col min="5" max="5" width="6.88671875" style="1" customWidth="1"/>
    <col min="6" max="6" width="6" style="1" bestFit="1" customWidth="1"/>
    <col min="7" max="7" width="9.109375" style="1" bestFit="1" customWidth="1"/>
    <col min="8" max="9" width="5" style="1" bestFit="1" customWidth="1"/>
    <col min="10" max="11" width="5.109375" style="1" bestFit="1" customWidth="1"/>
    <col min="12" max="12" width="8" style="1" bestFit="1" customWidth="1"/>
    <col min="13" max="16384" width="9" style="1"/>
  </cols>
  <sheetData>
    <row r="1" spans="1:12" x14ac:dyDescent="0.35">
      <c r="A1" s="1" t="s">
        <v>26</v>
      </c>
      <c r="B1" s="1" t="s">
        <v>2</v>
      </c>
      <c r="C1" s="1" t="s">
        <v>60</v>
      </c>
      <c r="D1" s="1" t="s">
        <v>35</v>
      </c>
      <c r="E1" s="1" t="s">
        <v>66</v>
      </c>
      <c r="F1" s="1" t="s">
        <v>33</v>
      </c>
      <c r="G1" s="1" t="s">
        <v>34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</row>
    <row r="2" spans="1:12" x14ac:dyDescent="0.35">
      <c r="A2" s="1">
        <v>1</v>
      </c>
      <c r="B2" s="1" t="s">
        <v>3</v>
      </c>
      <c r="C2" s="1">
        <f>INDEX(fields[column],MATCH(games[[#This Row],[field]],fields[field],0))</f>
        <v>1</v>
      </c>
      <c r="D2" s="40" t="str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Άφιξη</v>
      </c>
      <c r="E2" s="40" t="str">
        <f ca="1">IF(LEN(games[[#This Row],[pair]])=3,MID(games[[#This Row],[pair]],2,1),"")</f>
        <v/>
      </c>
      <c r="F2" s="1">
        <f t="array" ref="F2">MATCH(1,(pages!$A$1:$A$957=games[[#This Row],[r]])*(pages!$B$1:$B$957=games[[#This Row],[field]]),0)</f>
        <v>4</v>
      </c>
      <c r="G2" s="1" t="b">
        <f>INDEX(pages!$L$1:$L$957,games[[#This Row],[ind]])</f>
        <v>0</v>
      </c>
      <c r="H2" s="1" t="str">
        <f ca="1">_xlfn.IFNA(IF(LEN(games[[#This Row],[pair]])=3,INDEX(teams[id],MATCH(LEFT(games[[#This Row],[pair]]),teams[char],0)),""),"")</f>
        <v/>
      </c>
      <c r="I2" s="1" t="str">
        <f ca="1">_xlfn.IFNA(IF(LEN(games[[#This Row],[pair]])=3,INDEX(teams[id],MATCH(RIGHT(games[[#This Row],[pair]]),teams[char],0)),""),"")</f>
        <v/>
      </c>
      <c r="J2" s="1" t="str">
        <f>IF(games[[#This Row],[played]],INDEX(pages!$I$1:$I$759,games[[#This Row],[ind]]),"")</f>
        <v/>
      </c>
      <c r="K2" s="1" t="str">
        <f>IF(games[[#This Row],[played]],INDEX(pages!$J$1:$J$759,games[[#This Row],[ind]]),"")</f>
        <v/>
      </c>
      <c r="L2" s="40" t="str">
        <f ca="1">INDEX(fields[char],MATCH(games[[#This Row],[field]],fields[field],0))&amp;IF(games[[#This Row],[tag]]="-","","("&amp;games[[#This Row],[tag]]&amp;")")</f>
        <v>p()</v>
      </c>
    </row>
    <row r="3" spans="1:12" x14ac:dyDescent="0.35">
      <c r="A3" s="1">
        <v>1</v>
      </c>
      <c r="B3" s="1" t="s">
        <v>4</v>
      </c>
      <c r="C3" s="1">
        <f>INDEX(fields[column],MATCH(games[[#This Row],[field]],fields[field],0))</f>
        <v>2</v>
      </c>
      <c r="D3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3" s="40" t="str">
        <f ca="1">IF(LEN(games[[#This Row],[pair]])=3,MID(games[[#This Row],[pair]],2,1),"")</f>
        <v/>
      </c>
      <c r="F3" s="1">
        <f t="array" ref="F3">MATCH(1,(pages!$A$1:$A$957=games[[#This Row],[r]])*(pages!$B$1:$B$957=games[[#This Row],[field]]),0)</f>
        <v>5</v>
      </c>
      <c r="G3" s="1" t="b">
        <f>INDEX(pages!$L$1:$L$957,games[[#This Row],[ind]])</f>
        <v>0</v>
      </c>
      <c r="H3" s="1" t="str">
        <f ca="1">_xlfn.IFNA(IF(LEN(games[[#This Row],[pair]])=3,INDEX(teams[id],MATCH(LEFT(games[[#This Row],[pair]]),teams[char],0)),""),"")</f>
        <v/>
      </c>
      <c r="I3" s="1" t="str">
        <f ca="1">_xlfn.IFNA(IF(LEN(games[[#This Row],[pair]])=3,INDEX(teams[id],MATCH(RIGHT(games[[#This Row],[pair]]),teams[char],0)),""),"")</f>
        <v/>
      </c>
      <c r="J3" s="1" t="str">
        <f>IF(games[[#This Row],[played]],INDEX(pages!$I$1:$I$759,games[[#This Row],[ind]]),"")</f>
        <v/>
      </c>
      <c r="K3" s="1" t="str">
        <f>IF(games[[#This Row],[played]],INDEX(pages!$J$1:$J$759,games[[#This Row],[ind]]),"")</f>
        <v/>
      </c>
      <c r="L3" s="40" t="str">
        <f ca="1">INDEX(fields[char],MATCH(games[[#This Row],[field]],fields[field],0))&amp;IF(games[[#This Row],[tag]]="-","","("&amp;games[[#This Row],[tag]]&amp;")")</f>
        <v>p()</v>
      </c>
    </row>
    <row r="4" spans="1:12" x14ac:dyDescent="0.35">
      <c r="A4" s="1">
        <v>1</v>
      </c>
      <c r="B4" s="1" t="s">
        <v>5</v>
      </c>
      <c r="C4" s="1">
        <f>INDEX(fields[column],MATCH(games[[#This Row],[field]],fields[field],0))</f>
        <v>3</v>
      </c>
      <c r="D4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4" s="40" t="str">
        <f ca="1">IF(LEN(games[[#This Row],[pair]])=3,MID(games[[#This Row],[pair]],2,1),"")</f>
        <v/>
      </c>
      <c r="F4" s="1">
        <f t="array" ref="F4">MATCH(1,(pages!$A$1:$A$957=games[[#This Row],[r]])*(pages!$B$1:$B$957=games[[#This Row],[field]]),0)</f>
        <v>6</v>
      </c>
      <c r="G4" s="1" t="b">
        <f>INDEX(pages!$L$1:$L$957,games[[#This Row],[ind]])</f>
        <v>0</v>
      </c>
      <c r="H4" s="1" t="str">
        <f ca="1">_xlfn.IFNA(IF(LEN(games[[#This Row],[pair]])=3,INDEX(teams[id],MATCH(LEFT(games[[#This Row],[pair]]),teams[char],0)),""),"")</f>
        <v/>
      </c>
      <c r="I4" s="1" t="str">
        <f ca="1">_xlfn.IFNA(IF(LEN(games[[#This Row],[pair]])=3,INDEX(teams[id],MATCH(RIGHT(games[[#This Row],[pair]]),teams[char],0)),""),"")</f>
        <v/>
      </c>
      <c r="J4" s="1" t="str">
        <f>IF(games[[#This Row],[played]],INDEX(pages!$I$1:$I$759,games[[#This Row],[ind]]),"")</f>
        <v/>
      </c>
      <c r="K4" s="1" t="str">
        <f>IF(games[[#This Row],[played]],INDEX(pages!$J$1:$J$759,games[[#This Row],[ind]]),"")</f>
        <v/>
      </c>
      <c r="L4" s="40" t="str">
        <f ca="1">INDEX(fields[char],MATCH(games[[#This Row],[field]],fields[field],0))&amp;IF(games[[#This Row],[tag]]="-","","("&amp;games[[#This Row],[tag]]&amp;")")</f>
        <v>k()</v>
      </c>
    </row>
    <row r="5" spans="1:12" x14ac:dyDescent="0.35">
      <c r="A5" s="1">
        <v>1</v>
      </c>
      <c r="B5" s="1" t="s">
        <v>53</v>
      </c>
      <c r="C5" s="1">
        <f>INDEX(fields[column],MATCH(games[[#This Row],[field]],fields[field],0))</f>
        <v>4</v>
      </c>
      <c r="D5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5" s="40" t="str">
        <f ca="1">IF(LEN(games[[#This Row],[pair]])=3,MID(games[[#This Row],[pair]],2,1),"")</f>
        <v/>
      </c>
      <c r="F5" s="1">
        <f t="array" ref="F5">MATCH(1,(pages!$A$1:$A$957=games[[#This Row],[r]])*(pages!$B$1:$B$957=games[[#This Row],[field]]),0)</f>
        <v>7</v>
      </c>
      <c r="G5" s="1" t="b">
        <f>INDEX(pages!$L$1:$L$957,games[[#This Row],[ind]])</f>
        <v>0</v>
      </c>
      <c r="H5" s="1" t="str">
        <f ca="1">_xlfn.IFNA(IF(LEN(games[[#This Row],[pair]])=3,INDEX(teams[id],MATCH(LEFT(games[[#This Row],[pair]]),teams[char],0)),""),"")</f>
        <v/>
      </c>
      <c r="I5" s="1" t="str">
        <f ca="1">_xlfn.IFNA(IF(LEN(games[[#This Row],[pair]])=3,INDEX(teams[id],MATCH(RIGHT(games[[#This Row],[pair]]),teams[char],0)),""),"")</f>
        <v/>
      </c>
      <c r="J5" s="1" t="str">
        <f>IF(games[[#This Row],[played]],INDEX(pages!$I$1:$I$759,games[[#This Row],[ind]]),"")</f>
        <v/>
      </c>
      <c r="K5" s="1" t="str">
        <f>IF(games[[#This Row],[played]],INDEX(pages!$J$1:$J$759,games[[#This Row],[ind]]),"")</f>
        <v/>
      </c>
      <c r="L5" s="40" t="str">
        <f ca="1">INDEX(fields[char],MATCH(games[[#This Row],[field]],fields[field],0))&amp;IF(games[[#This Row],[tag]]="-","","("&amp;games[[#This Row],[tag]]&amp;")")</f>
        <v>v()</v>
      </c>
    </row>
    <row r="6" spans="1:12" x14ac:dyDescent="0.35">
      <c r="A6" s="1">
        <v>1</v>
      </c>
      <c r="B6" s="1" t="s">
        <v>54</v>
      </c>
      <c r="C6" s="1">
        <f>INDEX(fields[column],MATCH(games[[#This Row],[field]],fields[field],0))</f>
        <v>5</v>
      </c>
      <c r="D6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6" s="40" t="str">
        <f ca="1">IF(LEN(games[[#This Row],[pair]])=3,MID(games[[#This Row],[pair]],2,1),"")</f>
        <v/>
      </c>
      <c r="F6" s="1">
        <f t="array" ref="F6">MATCH(1,(pages!$A$1:$A$957=games[[#This Row],[r]])*(pages!$B$1:$B$957=games[[#This Row],[field]]),0)</f>
        <v>8</v>
      </c>
      <c r="G6" s="1" t="b">
        <f>INDEX(pages!$L$1:$L$957,games[[#This Row],[ind]])</f>
        <v>0</v>
      </c>
      <c r="H6" s="1" t="str">
        <f ca="1">_xlfn.IFNA(IF(LEN(games[[#This Row],[pair]])=3,INDEX(teams[id],MATCH(LEFT(games[[#This Row],[pair]]),teams[char],0)),""),"")</f>
        <v/>
      </c>
      <c r="I6" s="1" t="str">
        <f ca="1">_xlfn.IFNA(IF(LEN(games[[#This Row],[pair]])=3,INDEX(teams[id],MATCH(RIGHT(games[[#This Row],[pair]]),teams[char],0)),""),"")</f>
        <v/>
      </c>
      <c r="J6" s="1" t="str">
        <f>IF(games[[#This Row],[played]],INDEX(pages!$I$1:$I$759,games[[#This Row],[ind]]),"")</f>
        <v/>
      </c>
      <c r="K6" s="1" t="str">
        <f>IF(games[[#This Row],[played]],INDEX(pages!$J$1:$J$759,games[[#This Row],[ind]]),"")</f>
        <v/>
      </c>
      <c r="L6" s="40" t="str">
        <f ca="1">INDEX(fields[char],MATCH(games[[#This Row],[field]],fields[field],0))&amp;IF(games[[#This Row],[tag]]="-","","("&amp;games[[#This Row],[tag]]&amp;")")</f>
        <v>m()</v>
      </c>
    </row>
    <row r="7" spans="1:12" x14ac:dyDescent="0.35">
      <c r="A7" s="1">
        <f>A2+1</f>
        <v>2</v>
      </c>
      <c r="B7" s="1" t="s">
        <v>3</v>
      </c>
      <c r="C7" s="1">
        <f>INDEX(fields[column],MATCH(games[[#This Row],[field]],fields[field],0))</f>
        <v>1</v>
      </c>
      <c r="D7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7" s="40" t="str">
        <f ca="1">IF(LEN(games[[#This Row],[pair]])=3,MID(games[[#This Row],[pair]],2,1),"")</f>
        <v/>
      </c>
      <c r="F7" s="1">
        <f t="array" ref="F7">MATCH(1,(pages!$A$1:$A$957=games[[#This Row],[r]])*(pages!$B$1:$B$957=games[[#This Row],[field]]),0)</f>
        <v>9</v>
      </c>
      <c r="G7" s="1" t="b">
        <f>INDEX(pages!$L$1:$L$957,games[[#This Row],[ind]])</f>
        <v>0</v>
      </c>
      <c r="H7" s="1" t="str">
        <f ca="1">_xlfn.IFNA(IF(LEN(games[[#This Row],[pair]])=3,INDEX(teams[id],MATCH(LEFT(games[[#This Row],[pair]]),teams[char],0)),""),"")</f>
        <v/>
      </c>
      <c r="I7" s="1" t="str">
        <f ca="1">_xlfn.IFNA(IF(LEN(games[[#This Row],[pair]])=3,INDEX(teams[id],MATCH(RIGHT(games[[#This Row],[pair]]),teams[char],0)),""),"")</f>
        <v/>
      </c>
      <c r="J7" s="1" t="str">
        <f>IF(games[[#This Row],[played]],INDEX(pages!$I$1:$I$759,games[[#This Row],[ind]]),"")</f>
        <v/>
      </c>
      <c r="K7" s="1" t="str">
        <f>IF(games[[#This Row],[played]],INDEX(pages!$J$1:$J$759,games[[#This Row],[ind]]),"")</f>
        <v/>
      </c>
      <c r="L7" s="40" t="str">
        <f ca="1">INDEX(fields[char],MATCH(games[[#This Row],[field]],fields[field],0))&amp;IF(games[[#This Row],[tag]]="-","","("&amp;games[[#This Row],[tag]]&amp;")")</f>
        <v>p()</v>
      </c>
    </row>
    <row r="8" spans="1:12" x14ac:dyDescent="0.35">
      <c r="A8" s="1">
        <f t="shared" ref="A8:A71" si="0">A3+1</f>
        <v>2</v>
      </c>
      <c r="B8" s="1" t="s">
        <v>4</v>
      </c>
      <c r="C8" s="1">
        <f>INDEX(fields[column],MATCH(games[[#This Row],[field]],fields[field],0))</f>
        <v>2</v>
      </c>
      <c r="D8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8" s="40" t="str">
        <f ca="1">IF(LEN(games[[#This Row],[pair]])=3,MID(games[[#This Row],[pair]],2,1),"")</f>
        <v/>
      </c>
      <c r="F8" s="1">
        <f t="array" ref="F8">MATCH(1,(pages!$A$1:$A$957=games[[#This Row],[r]])*(pages!$B$1:$B$957=games[[#This Row],[field]]),0)</f>
        <v>10</v>
      </c>
      <c r="G8" s="1" t="b">
        <f>INDEX(pages!$L$1:$L$957,games[[#This Row],[ind]])</f>
        <v>0</v>
      </c>
      <c r="H8" s="1" t="str">
        <f ca="1">_xlfn.IFNA(IF(LEN(games[[#This Row],[pair]])=3,INDEX(teams[id],MATCH(LEFT(games[[#This Row],[pair]]),teams[char],0)),""),"")</f>
        <v/>
      </c>
      <c r="I8" s="1" t="str">
        <f ca="1">_xlfn.IFNA(IF(LEN(games[[#This Row],[pair]])=3,INDEX(teams[id],MATCH(RIGHT(games[[#This Row],[pair]]),teams[char],0)),""),"")</f>
        <v/>
      </c>
      <c r="J8" s="1" t="str">
        <f>IF(games[[#This Row],[played]],INDEX(pages!$I$1:$I$759,games[[#This Row],[ind]]),"")</f>
        <v/>
      </c>
      <c r="K8" s="1" t="str">
        <f>IF(games[[#This Row],[played]],INDEX(pages!$J$1:$J$759,games[[#This Row],[ind]]),"")</f>
        <v/>
      </c>
      <c r="L8" s="40" t="str">
        <f ca="1">INDEX(fields[char],MATCH(games[[#This Row],[field]],fields[field],0))&amp;IF(games[[#This Row],[tag]]="-","","("&amp;games[[#This Row],[tag]]&amp;")")</f>
        <v>p()</v>
      </c>
    </row>
    <row r="9" spans="1:12" x14ac:dyDescent="0.35">
      <c r="A9" s="1">
        <f t="shared" si="0"/>
        <v>2</v>
      </c>
      <c r="B9" s="1" t="s">
        <v>5</v>
      </c>
      <c r="C9" s="1">
        <f>INDEX(fields[column],MATCH(games[[#This Row],[field]],fields[field],0))</f>
        <v>3</v>
      </c>
      <c r="D9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9" s="40" t="str">
        <f ca="1">IF(LEN(games[[#This Row],[pair]])=3,MID(games[[#This Row],[pair]],2,1),"")</f>
        <v/>
      </c>
      <c r="F9" s="1">
        <f t="array" ref="F9">MATCH(1,(pages!$A$1:$A$957=games[[#This Row],[r]])*(pages!$B$1:$B$957=games[[#This Row],[field]]),0)</f>
        <v>11</v>
      </c>
      <c r="G9" s="1" t="b">
        <f>INDEX(pages!$L$1:$L$957,games[[#This Row],[ind]])</f>
        <v>0</v>
      </c>
      <c r="H9" s="1" t="str">
        <f ca="1">_xlfn.IFNA(IF(LEN(games[[#This Row],[pair]])=3,INDEX(teams[id],MATCH(LEFT(games[[#This Row],[pair]]),teams[char],0)),""),"")</f>
        <v/>
      </c>
      <c r="I9" s="1" t="str">
        <f ca="1">_xlfn.IFNA(IF(LEN(games[[#This Row],[pair]])=3,INDEX(teams[id],MATCH(RIGHT(games[[#This Row],[pair]]),teams[char],0)),""),"")</f>
        <v/>
      </c>
      <c r="J9" s="1" t="str">
        <f>IF(games[[#This Row],[played]],INDEX(pages!$I$1:$I$759,games[[#This Row],[ind]]),"")</f>
        <v/>
      </c>
      <c r="K9" s="1" t="str">
        <f>IF(games[[#This Row],[played]],INDEX(pages!$J$1:$J$759,games[[#This Row],[ind]]),"")</f>
        <v/>
      </c>
      <c r="L9" s="40" t="str">
        <f ca="1">INDEX(fields[char],MATCH(games[[#This Row],[field]],fields[field],0))&amp;IF(games[[#This Row],[tag]]="-","","("&amp;games[[#This Row],[tag]]&amp;")")</f>
        <v>k()</v>
      </c>
    </row>
    <row r="10" spans="1:12" x14ac:dyDescent="0.35">
      <c r="A10" s="1">
        <f t="shared" si="0"/>
        <v>2</v>
      </c>
      <c r="B10" s="1" t="s">
        <v>53</v>
      </c>
      <c r="C10" s="1">
        <f>INDEX(fields[column],MATCH(games[[#This Row],[field]],fields[field],0))</f>
        <v>4</v>
      </c>
      <c r="D10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0" s="40" t="str">
        <f ca="1">IF(LEN(games[[#This Row],[pair]])=3,MID(games[[#This Row],[pair]],2,1),"")</f>
        <v/>
      </c>
      <c r="F10" s="1">
        <f t="array" ref="F10">MATCH(1,(pages!$A$1:$A$957=games[[#This Row],[r]])*(pages!$B$1:$B$957=games[[#This Row],[field]]),0)</f>
        <v>12</v>
      </c>
      <c r="G10" s="1" t="b">
        <f>INDEX(pages!$L$1:$L$957,games[[#This Row],[ind]])</f>
        <v>0</v>
      </c>
      <c r="H10" s="1" t="str">
        <f ca="1">_xlfn.IFNA(IF(LEN(games[[#This Row],[pair]])=3,INDEX(teams[id],MATCH(LEFT(games[[#This Row],[pair]]),teams[char],0)),""),"")</f>
        <v/>
      </c>
      <c r="I10" s="1" t="str">
        <f ca="1">_xlfn.IFNA(IF(LEN(games[[#This Row],[pair]])=3,INDEX(teams[id],MATCH(RIGHT(games[[#This Row],[pair]]),teams[char],0)),""),"")</f>
        <v/>
      </c>
      <c r="J10" s="1" t="str">
        <f>IF(games[[#This Row],[played]],INDEX(pages!$I$1:$I$759,games[[#This Row],[ind]]),"")</f>
        <v/>
      </c>
      <c r="K10" s="1" t="str">
        <f>IF(games[[#This Row],[played]],INDEX(pages!$J$1:$J$759,games[[#This Row],[ind]]),"")</f>
        <v/>
      </c>
      <c r="L10" s="40" t="str">
        <f ca="1">INDEX(fields[char],MATCH(games[[#This Row],[field]],fields[field],0))&amp;IF(games[[#This Row],[tag]]="-","","("&amp;games[[#This Row],[tag]]&amp;")")</f>
        <v>v()</v>
      </c>
    </row>
    <row r="11" spans="1:12" x14ac:dyDescent="0.35">
      <c r="A11" s="1">
        <f t="shared" si="0"/>
        <v>2</v>
      </c>
      <c r="B11" s="1" t="s">
        <v>54</v>
      </c>
      <c r="C11" s="1">
        <f>INDEX(fields[column],MATCH(games[[#This Row],[field]],fields[field],0))</f>
        <v>5</v>
      </c>
      <c r="D11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1" s="40" t="str">
        <f ca="1">IF(LEN(games[[#This Row],[pair]])=3,MID(games[[#This Row],[pair]],2,1),"")</f>
        <v/>
      </c>
      <c r="F11" s="1">
        <f t="array" ref="F11">MATCH(1,(pages!$A$1:$A$957=games[[#This Row],[r]])*(pages!$B$1:$B$957=games[[#This Row],[field]]),0)</f>
        <v>13</v>
      </c>
      <c r="G11" s="1" t="b">
        <f>INDEX(pages!$L$1:$L$957,games[[#This Row],[ind]])</f>
        <v>0</v>
      </c>
      <c r="H11" s="1" t="str">
        <f ca="1">_xlfn.IFNA(IF(LEN(games[[#This Row],[pair]])=3,INDEX(teams[id],MATCH(LEFT(games[[#This Row],[pair]]),teams[char],0)),""),"")</f>
        <v/>
      </c>
      <c r="I11" s="1" t="str">
        <f ca="1">_xlfn.IFNA(IF(LEN(games[[#This Row],[pair]])=3,INDEX(teams[id],MATCH(RIGHT(games[[#This Row],[pair]]),teams[char],0)),""),"")</f>
        <v/>
      </c>
      <c r="J11" s="1" t="str">
        <f>IF(games[[#This Row],[played]],INDEX(pages!$I$1:$I$759,games[[#This Row],[ind]]),"")</f>
        <v/>
      </c>
      <c r="K11" s="1" t="str">
        <f>IF(games[[#This Row],[played]],INDEX(pages!$J$1:$J$759,games[[#This Row],[ind]]),"")</f>
        <v/>
      </c>
      <c r="L11" s="40" t="str">
        <f ca="1">INDEX(fields[char],MATCH(games[[#This Row],[field]],fields[field],0))&amp;IF(games[[#This Row],[tag]]="-","","("&amp;games[[#This Row],[tag]]&amp;")")</f>
        <v>m()</v>
      </c>
    </row>
    <row r="12" spans="1:12" x14ac:dyDescent="0.35">
      <c r="A12" s="1">
        <f>A7+1</f>
        <v>3</v>
      </c>
      <c r="B12" s="1" t="s">
        <v>3</v>
      </c>
      <c r="C12" s="1">
        <f>INDEX(fields[column],MATCH(games[[#This Row],[field]],fields[field],0))</f>
        <v>1</v>
      </c>
      <c r="D12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2" s="40" t="str">
        <f ca="1">IF(LEN(games[[#This Row],[pair]])=3,MID(games[[#This Row],[pair]],2,1),"")</f>
        <v/>
      </c>
      <c r="F12" s="1">
        <f t="array" ref="F12">MATCH(1,(pages!$A$1:$A$957=games[[#This Row],[r]])*(pages!$B$1:$B$957=games[[#This Row],[field]]),0)</f>
        <v>14</v>
      </c>
      <c r="G12" s="1" t="b">
        <f>INDEX(pages!$L$1:$L$957,games[[#This Row],[ind]])</f>
        <v>0</v>
      </c>
      <c r="H12" s="1" t="str">
        <f ca="1">_xlfn.IFNA(IF(LEN(games[[#This Row],[pair]])=3,INDEX(teams[id],MATCH(LEFT(games[[#This Row],[pair]]),teams[char],0)),""),"")</f>
        <v/>
      </c>
      <c r="I12" s="1" t="str">
        <f ca="1">_xlfn.IFNA(IF(LEN(games[[#This Row],[pair]])=3,INDEX(teams[id],MATCH(RIGHT(games[[#This Row],[pair]]),teams[char],0)),""),"")</f>
        <v/>
      </c>
      <c r="J12" s="1" t="str">
        <f>IF(games[[#This Row],[played]],INDEX(pages!$I$1:$I$759,games[[#This Row],[ind]]),"")</f>
        <v/>
      </c>
      <c r="K12" s="1" t="str">
        <f>IF(games[[#This Row],[played]],INDEX(pages!$J$1:$J$759,games[[#This Row],[ind]]),"")</f>
        <v/>
      </c>
      <c r="L12" s="40" t="str">
        <f ca="1">INDEX(fields[char],MATCH(games[[#This Row],[field]],fields[field],0))&amp;IF(games[[#This Row],[tag]]="-","","("&amp;games[[#This Row],[tag]]&amp;")")</f>
        <v>p()</v>
      </c>
    </row>
    <row r="13" spans="1:12" x14ac:dyDescent="0.35">
      <c r="A13" s="1">
        <f t="shared" si="0"/>
        <v>3</v>
      </c>
      <c r="B13" s="1" t="s">
        <v>4</v>
      </c>
      <c r="C13" s="1">
        <f>INDEX(fields[column],MATCH(games[[#This Row],[field]],fields[field],0))</f>
        <v>2</v>
      </c>
      <c r="D13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3" s="40" t="str">
        <f ca="1">IF(LEN(games[[#This Row],[pair]])=3,MID(games[[#This Row],[pair]],2,1),"")</f>
        <v/>
      </c>
      <c r="F13" s="1">
        <f t="array" ref="F13">MATCH(1,(pages!$A$1:$A$957=games[[#This Row],[r]])*(pages!$B$1:$B$957=games[[#This Row],[field]]),0)</f>
        <v>15</v>
      </c>
      <c r="G13" s="1" t="b">
        <f>INDEX(pages!$L$1:$L$957,games[[#This Row],[ind]])</f>
        <v>0</v>
      </c>
      <c r="H13" s="1" t="str">
        <f ca="1">_xlfn.IFNA(IF(LEN(games[[#This Row],[pair]])=3,INDEX(teams[id],MATCH(LEFT(games[[#This Row],[pair]]),teams[char],0)),""),"")</f>
        <v/>
      </c>
      <c r="I13" s="1" t="str">
        <f ca="1">_xlfn.IFNA(IF(LEN(games[[#This Row],[pair]])=3,INDEX(teams[id],MATCH(RIGHT(games[[#This Row],[pair]]),teams[char],0)),""),"")</f>
        <v/>
      </c>
      <c r="J13" s="1" t="str">
        <f>IF(games[[#This Row],[played]],INDEX(pages!$I$1:$I$759,games[[#This Row],[ind]]),"")</f>
        <v/>
      </c>
      <c r="K13" s="1" t="str">
        <f>IF(games[[#This Row],[played]],INDEX(pages!$J$1:$J$759,games[[#This Row],[ind]]),"")</f>
        <v/>
      </c>
      <c r="L13" s="40" t="str">
        <f ca="1">INDEX(fields[char],MATCH(games[[#This Row],[field]],fields[field],0))&amp;IF(games[[#This Row],[tag]]="-","","("&amp;games[[#This Row],[tag]]&amp;")")</f>
        <v>p()</v>
      </c>
    </row>
    <row r="14" spans="1:12" x14ac:dyDescent="0.35">
      <c r="A14" s="1">
        <f t="shared" si="0"/>
        <v>3</v>
      </c>
      <c r="B14" s="1" t="s">
        <v>5</v>
      </c>
      <c r="C14" s="1">
        <f>INDEX(fields[column],MATCH(games[[#This Row],[field]],fields[field],0))</f>
        <v>3</v>
      </c>
      <c r="D14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4" s="40" t="str">
        <f ca="1">IF(LEN(games[[#This Row],[pair]])=3,MID(games[[#This Row],[pair]],2,1),"")</f>
        <v/>
      </c>
      <c r="F14" s="1">
        <f t="array" ref="F14">MATCH(1,(pages!$A$1:$A$957=games[[#This Row],[r]])*(pages!$B$1:$B$957=games[[#This Row],[field]]),0)</f>
        <v>16</v>
      </c>
      <c r="G14" s="1" t="b">
        <f>INDEX(pages!$L$1:$L$957,games[[#This Row],[ind]])</f>
        <v>0</v>
      </c>
      <c r="H14" s="1" t="str">
        <f ca="1">_xlfn.IFNA(IF(LEN(games[[#This Row],[pair]])=3,INDEX(teams[id],MATCH(LEFT(games[[#This Row],[pair]]),teams[char],0)),""),"")</f>
        <v/>
      </c>
      <c r="I14" s="1" t="str">
        <f ca="1">_xlfn.IFNA(IF(LEN(games[[#This Row],[pair]])=3,INDEX(teams[id],MATCH(RIGHT(games[[#This Row],[pair]]),teams[char],0)),""),"")</f>
        <v/>
      </c>
      <c r="J14" s="1" t="str">
        <f>IF(games[[#This Row],[played]],INDEX(pages!$I$1:$I$759,games[[#This Row],[ind]]),"")</f>
        <v/>
      </c>
      <c r="K14" s="1" t="str">
        <f>IF(games[[#This Row],[played]],INDEX(pages!$J$1:$J$759,games[[#This Row],[ind]]),"")</f>
        <v/>
      </c>
      <c r="L14" s="40" t="str">
        <f ca="1">INDEX(fields[char],MATCH(games[[#This Row],[field]],fields[field],0))&amp;IF(games[[#This Row],[tag]]="-","","("&amp;games[[#This Row],[tag]]&amp;")")</f>
        <v>k()</v>
      </c>
    </row>
    <row r="15" spans="1:12" x14ac:dyDescent="0.35">
      <c r="A15" s="1">
        <f t="shared" si="0"/>
        <v>3</v>
      </c>
      <c r="B15" s="1" t="s">
        <v>53</v>
      </c>
      <c r="C15" s="1">
        <f>INDEX(fields[column],MATCH(games[[#This Row],[field]],fields[field],0))</f>
        <v>4</v>
      </c>
      <c r="D15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5" s="40" t="str">
        <f ca="1">IF(LEN(games[[#This Row],[pair]])=3,MID(games[[#This Row],[pair]],2,1),"")</f>
        <v/>
      </c>
      <c r="F15" s="1">
        <f t="array" ref="F15">MATCH(1,(pages!$A$1:$A$957=games[[#This Row],[r]])*(pages!$B$1:$B$957=games[[#This Row],[field]]),0)</f>
        <v>17</v>
      </c>
      <c r="G15" s="1" t="b">
        <f>INDEX(pages!$L$1:$L$957,games[[#This Row],[ind]])</f>
        <v>0</v>
      </c>
      <c r="H15" s="1" t="str">
        <f ca="1">_xlfn.IFNA(IF(LEN(games[[#This Row],[pair]])=3,INDEX(teams[id],MATCH(LEFT(games[[#This Row],[pair]]),teams[char],0)),""),"")</f>
        <v/>
      </c>
      <c r="I15" s="1" t="str">
        <f ca="1">_xlfn.IFNA(IF(LEN(games[[#This Row],[pair]])=3,INDEX(teams[id],MATCH(RIGHT(games[[#This Row],[pair]]),teams[char],0)),""),"")</f>
        <v/>
      </c>
      <c r="J15" s="1" t="str">
        <f>IF(games[[#This Row],[played]],INDEX(pages!$I$1:$I$759,games[[#This Row],[ind]]),"")</f>
        <v/>
      </c>
      <c r="K15" s="1" t="str">
        <f>IF(games[[#This Row],[played]],INDEX(pages!$J$1:$J$759,games[[#This Row],[ind]]),"")</f>
        <v/>
      </c>
      <c r="L15" s="40" t="str">
        <f ca="1">INDEX(fields[char],MATCH(games[[#This Row],[field]],fields[field],0))&amp;IF(games[[#This Row],[tag]]="-","","("&amp;games[[#This Row],[tag]]&amp;")")</f>
        <v>v()</v>
      </c>
    </row>
    <row r="16" spans="1:12" x14ac:dyDescent="0.35">
      <c r="A16" s="1">
        <f t="shared" si="0"/>
        <v>3</v>
      </c>
      <c r="B16" s="1" t="s">
        <v>54</v>
      </c>
      <c r="C16" s="1">
        <f>INDEX(fields[column],MATCH(games[[#This Row],[field]],fields[field],0))</f>
        <v>5</v>
      </c>
      <c r="D16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6" s="40" t="str">
        <f ca="1">IF(LEN(games[[#This Row],[pair]])=3,MID(games[[#This Row],[pair]],2,1),"")</f>
        <v/>
      </c>
      <c r="F16" s="1">
        <f t="array" ref="F16">MATCH(1,(pages!$A$1:$A$957=games[[#This Row],[r]])*(pages!$B$1:$B$957=games[[#This Row],[field]]),0)</f>
        <v>18</v>
      </c>
      <c r="G16" s="1" t="b">
        <f>INDEX(pages!$L$1:$L$957,games[[#This Row],[ind]])</f>
        <v>0</v>
      </c>
      <c r="H16" s="1" t="str">
        <f ca="1">_xlfn.IFNA(IF(LEN(games[[#This Row],[pair]])=3,INDEX(teams[id],MATCH(LEFT(games[[#This Row],[pair]]),teams[char],0)),""),"")</f>
        <v/>
      </c>
      <c r="I16" s="1" t="str">
        <f ca="1">_xlfn.IFNA(IF(LEN(games[[#This Row],[pair]])=3,INDEX(teams[id],MATCH(RIGHT(games[[#This Row],[pair]]),teams[char],0)),""),"")</f>
        <v/>
      </c>
      <c r="J16" s="1" t="str">
        <f>IF(games[[#This Row],[played]],INDEX(pages!$I$1:$I$759,games[[#This Row],[ind]]),"")</f>
        <v/>
      </c>
      <c r="K16" s="1" t="str">
        <f>IF(games[[#This Row],[played]],INDEX(pages!$J$1:$J$759,games[[#This Row],[ind]]),"")</f>
        <v/>
      </c>
      <c r="L16" s="40" t="str">
        <f ca="1">INDEX(fields[char],MATCH(games[[#This Row],[field]],fields[field],0))&amp;IF(games[[#This Row],[tag]]="-","","("&amp;games[[#This Row],[tag]]&amp;")")</f>
        <v>m()</v>
      </c>
    </row>
    <row r="17" spans="1:12" x14ac:dyDescent="0.35">
      <c r="A17" s="1">
        <f t="shared" si="0"/>
        <v>4</v>
      </c>
      <c r="B17" s="1" t="s">
        <v>3</v>
      </c>
      <c r="C17" s="1">
        <f>INDEX(fields[column],MATCH(games[[#This Row],[field]],fields[field],0))</f>
        <v>1</v>
      </c>
      <c r="D17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7" s="40" t="str">
        <f ca="1">IF(LEN(games[[#This Row],[pair]])=3,MID(games[[#This Row],[pair]],2,1),"")</f>
        <v/>
      </c>
      <c r="F17" s="1">
        <f t="array" ref="F17">MATCH(1,(pages!$A$1:$A$957=games[[#This Row],[r]])*(pages!$B$1:$B$957=games[[#This Row],[field]]),0)</f>
        <v>19</v>
      </c>
      <c r="G17" s="1" t="b">
        <f>INDEX(pages!$L$1:$L$957,games[[#This Row],[ind]])</f>
        <v>0</v>
      </c>
      <c r="H17" s="1" t="str">
        <f ca="1">_xlfn.IFNA(IF(LEN(games[[#This Row],[pair]])=3,INDEX(teams[id],MATCH(LEFT(games[[#This Row],[pair]]),teams[char],0)),""),"")</f>
        <v/>
      </c>
      <c r="I17" s="1" t="str">
        <f ca="1">_xlfn.IFNA(IF(LEN(games[[#This Row],[pair]])=3,INDEX(teams[id],MATCH(RIGHT(games[[#This Row],[pair]]),teams[char],0)),""),"")</f>
        <v/>
      </c>
      <c r="J17" s="1" t="str">
        <f>IF(games[[#This Row],[played]],INDEX(pages!$I$1:$I$759,games[[#This Row],[ind]]),"")</f>
        <v/>
      </c>
      <c r="K17" s="1" t="str">
        <f>IF(games[[#This Row],[played]],INDEX(pages!$J$1:$J$759,games[[#This Row],[ind]]),"")</f>
        <v/>
      </c>
      <c r="L17" s="40" t="str">
        <f ca="1">INDEX(fields[char],MATCH(games[[#This Row],[field]],fields[field],0))&amp;IF(games[[#This Row],[tag]]="-","","("&amp;games[[#This Row],[tag]]&amp;")")</f>
        <v>p()</v>
      </c>
    </row>
    <row r="18" spans="1:12" x14ac:dyDescent="0.35">
      <c r="A18" s="1">
        <f t="shared" si="0"/>
        <v>4</v>
      </c>
      <c r="B18" s="1" t="s">
        <v>4</v>
      </c>
      <c r="C18" s="1">
        <f>INDEX(fields[column],MATCH(games[[#This Row],[field]],fields[field],0))</f>
        <v>2</v>
      </c>
      <c r="D18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8" s="40" t="str">
        <f ca="1">IF(LEN(games[[#This Row],[pair]])=3,MID(games[[#This Row],[pair]],2,1),"")</f>
        <v/>
      </c>
      <c r="F18" s="1">
        <f t="array" ref="F18">MATCH(1,(pages!$A$1:$A$957=games[[#This Row],[r]])*(pages!$B$1:$B$957=games[[#This Row],[field]]),0)</f>
        <v>20</v>
      </c>
      <c r="G18" s="1" t="b">
        <f>INDEX(pages!$L$1:$L$957,games[[#This Row],[ind]])</f>
        <v>0</v>
      </c>
      <c r="H18" s="1" t="str">
        <f ca="1">_xlfn.IFNA(IF(LEN(games[[#This Row],[pair]])=3,INDEX(teams[id],MATCH(LEFT(games[[#This Row],[pair]]),teams[char],0)),""),"")</f>
        <v/>
      </c>
      <c r="I18" s="1" t="str">
        <f ca="1">_xlfn.IFNA(IF(LEN(games[[#This Row],[pair]])=3,INDEX(teams[id],MATCH(RIGHT(games[[#This Row],[pair]]),teams[char],0)),""),"")</f>
        <v/>
      </c>
      <c r="J18" s="1" t="str">
        <f>IF(games[[#This Row],[played]],INDEX(pages!$I$1:$I$759,games[[#This Row],[ind]]),"")</f>
        <v/>
      </c>
      <c r="K18" s="1" t="str">
        <f>IF(games[[#This Row],[played]],INDEX(pages!$J$1:$J$759,games[[#This Row],[ind]]),"")</f>
        <v/>
      </c>
      <c r="L18" s="40" t="str">
        <f ca="1">INDEX(fields[char],MATCH(games[[#This Row],[field]],fields[field],0))&amp;IF(games[[#This Row],[tag]]="-","","("&amp;games[[#This Row],[tag]]&amp;")")</f>
        <v>p()</v>
      </c>
    </row>
    <row r="19" spans="1:12" x14ac:dyDescent="0.35">
      <c r="A19" s="1">
        <f t="shared" si="0"/>
        <v>4</v>
      </c>
      <c r="B19" s="1" t="s">
        <v>5</v>
      </c>
      <c r="C19" s="1">
        <f>INDEX(fields[column],MATCH(games[[#This Row],[field]],fields[field],0))</f>
        <v>3</v>
      </c>
      <c r="D19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9" s="40" t="str">
        <f ca="1">IF(LEN(games[[#This Row],[pair]])=3,MID(games[[#This Row],[pair]],2,1),"")</f>
        <v/>
      </c>
      <c r="F19" s="1">
        <f t="array" ref="F19">MATCH(1,(pages!$A$1:$A$957=games[[#This Row],[r]])*(pages!$B$1:$B$957=games[[#This Row],[field]]),0)</f>
        <v>21</v>
      </c>
      <c r="G19" s="1" t="b">
        <f>INDEX(pages!$L$1:$L$957,games[[#This Row],[ind]])</f>
        <v>0</v>
      </c>
      <c r="H19" s="1" t="str">
        <f ca="1">_xlfn.IFNA(IF(LEN(games[[#This Row],[pair]])=3,INDEX(teams[id],MATCH(LEFT(games[[#This Row],[pair]]),teams[char],0)),""),"")</f>
        <v/>
      </c>
      <c r="I19" s="1" t="str">
        <f ca="1">_xlfn.IFNA(IF(LEN(games[[#This Row],[pair]])=3,INDEX(teams[id],MATCH(RIGHT(games[[#This Row],[pair]]),teams[char],0)),""),"")</f>
        <v/>
      </c>
      <c r="J19" s="1" t="str">
        <f>IF(games[[#This Row],[played]],INDEX(pages!$I$1:$I$759,games[[#This Row],[ind]]),"")</f>
        <v/>
      </c>
      <c r="K19" s="1" t="str">
        <f>IF(games[[#This Row],[played]],INDEX(pages!$J$1:$J$759,games[[#This Row],[ind]]),"")</f>
        <v/>
      </c>
      <c r="L19" s="40" t="str">
        <f ca="1">INDEX(fields[char],MATCH(games[[#This Row],[field]],fields[field],0))&amp;IF(games[[#This Row],[tag]]="-","","("&amp;games[[#This Row],[tag]]&amp;")")</f>
        <v>k()</v>
      </c>
    </row>
    <row r="20" spans="1:12" x14ac:dyDescent="0.35">
      <c r="A20" s="1">
        <f t="shared" si="0"/>
        <v>4</v>
      </c>
      <c r="B20" s="1" t="s">
        <v>53</v>
      </c>
      <c r="C20" s="1">
        <f>INDEX(fields[column],MATCH(games[[#This Row],[field]],fields[field],0))</f>
        <v>4</v>
      </c>
      <c r="D20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0" s="40" t="str">
        <f ca="1">IF(LEN(games[[#This Row],[pair]])=3,MID(games[[#This Row],[pair]],2,1),"")</f>
        <v/>
      </c>
      <c r="F20" s="1">
        <f t="array" ref="F20">MATCH(1,(pages!$A$1:$A$957=games[[#This Row],[r]])*(pages!$B$1:$B$957=games[[#This Row],[field]]),0)</f>
        <v>22</v>
      </c>
      <c r="G20" s="1" t="b">
        <f>INDEX(pages!$L$1:$L$957,games[[#This Row],[ind]])</f>
        <v>0</v>
      </c>
      <c r="H20" s="1" t="str">
        <f ca="1">_xlfn.IFNA(IF(LEN(games[[#This Row],[pair]])=3,INDEX(teams[id],MATCH(LEFT(games[[#This Row],[pair]]),teams[char],0)),""),"")</f>
        <v/>
      </c>
      <c r="I20" s="1" t="str">
        <f ca="1">_xlfn.IFNA(IF(LEN(games[[#This Row],[pair]])=3,INDEX(teams[id],MATCH(RIGHT(games[[#This Row],[pair]]),teams[char],0)),""),"")</f>
        <v/>
      </c>
      <c r="J20" s="1" t="str">
        <f>IF(games[[#This Row],[played]],INDEX(pages!$I$1:$I$759,games[[#This Row],[ind]]),"")</f>
        <v/>
      </c>
      <c r="K20" s="1" t="str">
        <f>IF(games[[#This Row],[played]],INDEX(pages!$J$1:$J$759,games[[#This Row],[ind]]),"")</f>
        <v/>
      </c>
      <c r="L20" s="40" t="str">
        <f ca="1">INDEX(fields[char],MATCH(games[[#This Row],[field]],fields[field],0))&amp;IF(games[[#This Row],[tag]]="-","","("&amp;games[[#This Row],[tag]]&amp;")")</f>
        <v>v()</v>
      </c>
    </row>
    <row r="21" spans="1:12" x14ac:dyDescent="0.35">
      <c r="A21" s="1">
        <f t="shared" si="0"/>
        <v>4</v>
      </c>
      <c r="B21" s="1" t="s">
        <v>54</v>
      </c>
      <c r="C21" s="1">
        <f>INDEX(fields[column],MATCH(games[[#This Row],[field]],fields[field],0))</f>
        <v>5</v>
      </c>
      <c r="D21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1" s="40" t="str">
        <f ca="1">IF(LEN(games[[#This Row],[pair]])=3,MID(games[[#This Row],[pair]],2,1),"")</f>
        <v/>
      </c>
      <c r="F21" s="1">
        <f t="array" ref="F21">MATCH(1,(pages!$A$1:$A$957=games[[#This Row],[r]])*(pages!$B$1:$B$957=games[[#This Row],[field]]),0)</f>
        <v>23</v>
      </c>
      <c r="G21" s="1" t="b">
        <f>INDEX(pages!$L$1:$L$957,games[[#This Row],[ind]])</f>
        <v>0</v>
      </c>
      <c r="H21" s="1" t="str">
        <f ca="1">_xlfn.IFNA(IF(LEN(games[[#This Row],[pair]])=3,INDEX(teams[id],MATCH(LEFT(games[[#This Row],[pair]]),teams[char],0)),""),"")</f>
        <v/>
      </c>
      <c r="I21" s="1" t="str">
        <f ca="1">_xlfn.IFNA(IF(LEN(games[[#This Row],[pair]])=3,INDEX(teams[id],MATCH(RIGHT(games[[#This Row],[pair]]),teams[char],0)),""),"")</f>
        <v/>
      </c>
      <c r="J21" s="1" t="str">
        <f>IF(games[[#This Row],[played]],INDEX(pages!$I$1:$I$759,games[[#This Row],[ind]]),"")</f>
        <v/>
      </c>
      <c r="K21" s="1" t="str">
        <f>IF(games[[#This Row],[played]],INDEX(pages!$J$1:$J$759,games[[#This Row],[ind]]),"")</f>
        <v/>
      </c>
      <c r="L21" s="40" t="str">
        <f ca="1">INDEX(fields[char],MATCH(games[[#This Row],[field]],fields[field],0))&amp;IF(games[[#This Row],[tag]]="-","","("&amp;games[[#This Row],[tag]]&amp;")")</f>
        <v>m()</v>
      </c>
    </row>
    <row r="22" spans="1:12" x14ac:dyDescent="0.35">
      <c r="A22" s="1">
        <f t="shared" si="0"/>
        <v>5</v>
      </c>
      <c r="B22" s="1" t="s">
        <v>3</v>
      </c>
      <c r="C22" s="1">
        <f>INDEX(fields[column],MATCH(games[[#This Row],[field]],fields[field],0))</f>
        <v>1</v>
      </c>
      <c r="D22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2" s="40" t="str">
        <f ca="1">IF(LEN(games[[#This Row],[pair]])=3,MID(games[[#This Row],[pair]],2,1),"")</f>
        <v/>
      </c>
      <c r="F22" s="1">
        <f t="array" ref="F22">MATCH(1,(pages!$A$1:$A$957=games[[#This Row],[r]])*(pages!$B$1:$B$957=games[[#This Row],[field]]),0)</f>
        <v>26</v>
      </c>
      <c r="G22" s="1" t="b">
        <f>INDEX(pages!$L$1:$L$957,games[[#This Row],[ind]])</f>
        <v>0</v>
      </c>
      <c r="H22" s="1" t="str">
        <f ca="1">_xlfn.IFNA(IF(LEN(games[[#This Row],[pair]])=3,INDEX(teams[id],MATCH(LEFT(games[[#This Row],[pair]]),teams[char],0)),""),"")</f>
        <v/>
      </c>
      <c r="I22" s="1" t="str">
        <f ca="1">_xlfn.IFNA(IF(LEN(games[[#This Row],[pair]])=3,INDEX(teams[id],MATCH(RIGHT(games[[#This Row],[pair]]),teams[char],0)),""),"")</f>
        <v/>
      </c>
      <c r="J22" s="1" t="str">
        <f>IF(games[[#This Row],[played]],INDEX(pages!$I$1:$I$759,games[[#This Row],[ind]]),"")</f>
        <v/>
      </c>
      <c r="K22" s="1" t="str">
        <f>IF(games[[#This Row],[played]],INDEX(pages!$J$1:$J$759,games[[#This Row],[ind]]),"")</f>
        <v/>
      </c>
      <c r="L22" s="40" t="str">
        <f ca="1">INDEX(fields[char],MATCH(games[[#This Row],[field]],fields[field],0))&amp;IF(games[[#This Row],[tag]]="-","","("&amp;games[[#This Row],[tag]]&amp;")")</f>
        <v>p()</v>
      </c>
    </row>
    <row r="23" spans="1:12" x14ac:dyDescent="0.35">
      <c r="A23" s="1">
        <f t="shared" si="0"/>
        <v>5</v>
      </c>
      <c r="B23" s="1" t="s">
        <v>4</v>
      </c>
      <c r="C23" s="1">
        <f>INDEX(fields[column],MATCH(games[[#This Row],[field]],fields[field],0))</f>
        <v>2</v>
      </c>
      <c r="D23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3" s="40" t="str">
        <f ca="1">IF(LEN(games[[#This Row],[pair]])=3,MID(games[[#This Row],[pair]],2,1),"")</f>
        <v/>
      </c>
      <c r="F23" s="1">
        <f t="array" ref="F23">MATCH(1,(pages!$A$1:$A$957=games[[#This Row],[r]])*(pages!$B$1:$B$957=games[[#This Row],[field]]),0)</f>
        <v>27</v>
      </c>
      <c r="G23" s="1" t="b">
        <f>INDEX(pages!$L$1:$L$957,games[[#This Row],[ind]])</f>
        <v>0</v>
      </c>
      <c r="H23" s="1" t="str">
        <f ca="1">_xlfn.IFNA(IF(LEN(games[[#This Row],[pair]])=3,INDEX(teams[id],MATCH(LEFT(games[[#This Row],[pair]]),teams[char],0)),""),"")</f>
        <v/>
      </c>
      <c r="I23" s="1" t="str">
        <f ca="1">_xlfn.IFNA(IF(LEN(games[[#This Row],[pair]])=3,INDEX(teams[id],MATCH(RIGHT(games[[#This Row],[pair]]),teams[char],0)),""),"")</f>
        <v/>
      </c>
      <c r="J23" s="1" t="str">
        <f>IF(games[[#This Row],[played]],INDEX(pages!$I$1:$I$759,games[[#This Row],[ind]]),"")</f>
        <v/>
      </c>
      <c r="K23" s="1" t="str">
        <f>IF(games[[#This Row],[played]],INDEX(pages!$J$1:$J$759,games[[#This Row],[ind]]),"")</f>
        <v/>
      </c>
      <c r="L23" s="40" t="str">
        <f ca="1">INDEX(fields[char],MATCH(games[[#This Row],[field]],fields[field],0))&amp;IF(games[[#This Row],[tag]]="-","","("&amp;games[[#This Row],[tag]]&amp;")")</f>
        <v>p()</v>
      </c>
    </row>
    <row r="24" spans="1:12" x14ac:dyDescent="0.35">
      <c r="A24" s="1">
        <f t="shared" si="0"/>
        <v>5</v>
      </c>
      <c r="B24" s="1" t="s">
        <v>5</v>
      </c>
      <c r="C24" s="1">
        <f>INDEX(fields[column],MATCH(games[[#This Row],[field]],fields[field],0))</f>
        <v>3</v>
      </c>
      <c r="D24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4" s="40" t="str">
        <f ca="1">IF(LEN(games[[#This Row],[pair]])=3,MID(games[[#This Row],[pair]],2,1),"")</f>
        <v/>
      </c>
      <c r="F24" s="1">
        <f t="array" ref="F24">MATCH(1,(pages!$A$1:$A$957=games[[#This Row],[r]])*(pages!$B$1:$B$957=games[[#This Row],[field]]),0)</f>
        <v>28</v>
      </c>
      <c r="G24" s="1" t="b">
        <f>INDEX(pages!$L$1:$L$957,games[[#This Row],[ind]])</f>
        <v>0</v>
      </c>
      <c r="H24" s="1" t="str">
        <f ca="1">_xlfn.IFNA(IF(LEN(games[[#This Row],[pair]])=3,INDEX(teams[id],MATCH(LEFT(games[[#This Row],[pair]]),teams[char],0)),""),"")</f>
        <v/>
      </c>
      <c r="I24" s="1" t="str">
        <f ca="1">_xlfn.IFNA(IF(LEN(games[[#This Row],[pair]])=3,INDEX(teams[id],MATCH(RIGHT(games[[#This Row],[pair]]),teams[char],0)),""),"")</f>
        <v/>
      </c>
      <c r="J24" s="1" t="str">
        <f>IF(games[[#This Row],[played]],INDEX(pages!$I$1:$I$759,games[[#This Row],[ind]]),"")</f>
        <v/>
      </c>
      <c r="K24" s="1" t="str">
        <f>IF(games[[#This Row],[played]],INDEX(pages!$J$1:$J$759,games[[#This Row],[ind]]),"")</f>
        <v/>
      </c>
      <c r="L24" s="40" t="str">
        <f ca="1">INDEX(fields[char],MATCH(games[[#This Row],[field]],fields[field],0))&amp;IF(games[[#This Row],[tag]]="-","","("&amp;games[[#This Row],[tag]]&amp;")")</f>
        <v>k()</v>
      </c>
    </row>
    <row r="25" spans="1:12" x14ac:dyDescent="0.35">
      <c r="A25" s="1">
        <f t="shared" si="0"/>
        <v>5</v>
      </c>
      <c r="B25" s="1" t="s">
        <v>53</v>
      </c>
      <c r="C25" s="1">
        <f>INDEX(fields[column],MATCH(games[[#This Row],[field]],fields[field],0))</f>
        <v>4</v>
      </c>
      <c r="D25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5" s="40" t="str">
        <f ca="1">IF(LEN(games[[#This Row],[pair]])=3,MID(games[[#This Row],[pair]],2,1),"")</f>
        <v/>
      </c>
      <c r="F25" s="1">
        <f t="array" ref="F25">MATCH(1,(pages!$A$1:$A$957=games[[#This Row],[r]])*(pages!$B$1:$B$957=games[[#This Row],[field]]),0)</f>
        <v>29</v>
      </c>
      <c r="G25" s="1" t="b">
        <f>INDEX(pages!$L$1:$L$957,games[[#This Row],[ind]])</f>
        <v>0</v>
      </c>
      <c r="H25" s="1" t="str">
        <f ca="1">_xlfn.IFNA(IF(LEN(games[[#This Row],[pair]])=3,INDEX(teams[id],MATCH(LEFT(games[[#This Row],[pair]]),teams[char],0)),""),"")</f>
        <v/>
      </c>
      <c r="I25" s="1" t="str">
        <f ca="1">_xlfn.IFNA(IF(LEN(games[[#This Row],[pair]])=3,INDEX(teams[id],MATCH(RIGHT(games[[#This Row],[pair]]),teams[char],0)),""),"")</f>
        <v/>
      </c>
      <c r="J25" s="1" t="str">
        <f>IF(games[[#This Row],[played]],INDEX(pages!$I$1:$I$759,games[[#This Row],[ind]]),"")</f>
        <v/>
      </c>
      <c r="K25" s="1" t="str">
        <f>IF(games[[#This Row],[played]],INDEX(pages!$J$1:$J$759,games[[#This Row],[ind]]),"")</f>
        <v/>
      </c>
      <c r="L25" s="40" t="str">
        <f ca="1">INDEX(fields[char],MATCH(games[[#This Row],[field]],fields[field],0))&amp;IF(games[[#This Row],[tag]]="-","","("&amp;games[[#This Row],[tag]]&amp;")")</f>
        <v>v()</v>
      </c>
    </row>
    <row r="26" spans="1:12" x14ac:dyDescent="0.35">
      <c r="A26" s="1">
        <f t="shared" si="0"/>
        <v>5</v>
      </c>
      <c r="B26" s="1" t="s">
        <v>54</v>
      </c>
      <c r="C26" s="1">
        <f>INDEX(fields[column],MATCH(games[[#This Row],[field]],fields[field],0))</f>
        <v>5</v>
      </c>
      <c r="D26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6" s="40" t="str">
        <f ca="1">IF(LEN(games[[#This Row],[pair]])=3,MID(games[[#This Row],[pair]],2,1),"")</f>
        <v/>
      </c>
      <c r="F26" s="1">
        <f t="array" ref="F26">MATCH(1,(pages!$A$1:$A$957=games[[#This Row],[r]])*(pages!$B$1:$B$957=games[[#This Row],[field]]),0)</f>
        <v>30</v>
      </c>
      <c r="G26" s="1" t="b">
        <f>INDEX(pages!$L$1:$L$957,games[[#This Row],[ind]])</f>
        <v>0</v>
      </c>
      <c r="H26" s="1" t="str">
        <f ca="1">_xlfn.IFNA(IF(LEN(games[[#This Row],[pair]])=3,INDEX(teams[id],MATCH(LEFT(games[[#This Row],[pair]]),teams[char],0)),""),"")</f>
        <v/>
      </c>
      <c r="I26" s="1" t="str">
        <f ca="1">_xlfn.IFNA(IF(LEN(games[[#This Row],[pair]])=3,INDEX(teams[id],MATCH(RIGHT(games[[#This Row],[pair]]),teams[char],0)),""),"")</f>
        <v/>
      </c>
      <c r="J26" s="1" t="str">
        <f>IF(games[[#This Row],[played]],INDEX(pages!$I$1:$I$759,games[[#This Row],[ind]]),"")</f>
        <v/>
      </c>
      <c r="K26" s="1" t="str">
        <f>IF(games[[#This Row],[played]],INDEX(pages!$J$1:$J$759,games[[#This Row],[ind]]),"")</f>
        <v/>
      </c>
      <c r="L26" s="40" t="str">
        <f ca="1">INDEX(fields[char],MATCH(games[[#This Row],[field]],fields[field],0))&amp;IF(games[[#This Row],[tag]]="-","","("&amp;games[[#This Row],[tag]]&amp;")")</f>
        <v>m()</v>
      </c>
    </row>
    <row r="27" spans="1:12" x14ac:dyDescent="0.35">
      <c r="A27" s="1">
        <f t="shared" si="0"/>
        <v>6</v>
      </c>
      <c r="B27" s="1" t="s">
        <v>3</v>
      </c>
      <c r="C27" s="1">
        <f>INDEX(fields[column],MATCH(games[[#This Row],[field]],fields[field],0))</f>
        <v>1</v>
      </c>
      <c r="D27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7" s="40" t="str">
        <f ca="1">IF(LEN(games[[#This Row],[pair]])=3,MID(games[[#This Row],[pair]],2,1),"")</f>
        <v/>
      </c>
      <c r="F27" s="1">
        <f t="array" ref="F27">MATCH(1,(pages!$A$1:$A$957=games[[#This Row],[r]])*(pages!$B$1:$B$957=games[[#This Row],[field]]),0)</f>
        <v>31</v>
      </c>
      <c r="G27" s="1" t="b">
        <f>INDEX(pages!$L$1:$L$957,games[[#This Row],[ind]])</f>
        <v>0</v>
      </c>
      <c r="H27" s="1" t="str">
        <f ca="1">_xlfn.IFNA(IF(LEN(games[[#This Row],[pair]])=3,INDEX(teams[id],MATCH(LEFT(games[[#This Row],[pair]]),teams[char],0)),""),"")</f>
        <v/>
      </c>
      <c r="I27" s="1" t="str">
        <f ca="1">_xlfn.IFNA(IF(LEN(games[[#This Row],[pair]])=3,INDEX(teams[id],MATCH(RIGHT(games[[#This Row],[pair]]),teams[char],0)),""),"")</f>
        <v/>
      </c>
      <c r="J27" s="1" t="str">
        <f>IF(games[[#This Row],[played]],INDEX(pages!$I$1:$I$759,games[[#This Row],[ind]]),"")</f>
        <v/>
      </c>
      <c r="K27" s="1" t="str">
        <f>IF(games[[#This Row],[played]],INDEX(pages!$J$1:$J$759,games[[#This Row],[ind]]),"")</f>
        <v/>
      </c>
      <c r="L27" s="40" t="str">
        <f ca="1">INDEX(fields[char],MATCH(games[[#This Row],[field]],fields[field],0))&amp;IF(games[[#This Row],[tag]]="-","","("&amp;games[[#This Row],[tag]]&amp;")")</f>
        <v>p()</v>
      </c>
    </row>
    <row r="28" spans="1:12" x14ac:dyDescent="0.35">
      <c r="A28" s="1">
        <f t="shared" si="0"/>
        <v>6</v>
      </c>
      <c r="B28" s="1" t="s">
        <v>4</v>
      </c>
      <c r="C28" s="1">
        <f>INDEX(fields[column],MATCH(games[[#This Row],[field]],fields[field],0))</f>
        <v>2</v>
      </c>
      <c r="D28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8" s="40" t="str">
        <f ca="1">IF(LEN(games[[#This Row],[pair]])=3,MID(games[[#This Row],[pair]],2,1),"")</f>
        <v/>
      </c>
      <c r="F28" s="1">
        <f t="array" ref="F28">MATCH(1,(pages!$A$1:$A$957=games[[#This Row],[r]])*(pages!$B$1:$B$957=games[[#This Row],[field]]),0)</f>
        <v>32</v>
      </c>
      <c r="G28" s="1" t="b">
        <f>INDEX(pages!$L$1:$L$957,games[[#This Row],[ind]])</f>
        <v>0</v>
      </c>
      <c r="H28" s="1" t="str">
        <f ca="1">_xlfn.IFNA(IF(LEN(games[[#This Row],[pair]])=3,INDEX(teams[id],MATCH(LEFT(games[[#This Row],[pair]]),teams[char],0)),""),"")</f>
        <v/>
      </c>
      <c r="I28" s="1" t="str">
        <f ca="1">_xlfn.IFNA(IF(LEN(games[[#This Row],[pair]])=3,INDEX(teams[id],MATCH(RIGHT(games[[#This Row],[pair]]),teams[char],0)),""),"")</f>
        <v/>
      </c>
      <c r="J28" s="1" t="str">
        <f>IF(games[[#This Row],[played]],INDEX(pages!$I$1:$I$759,games[[#This Row],[ind]]),"")</f>
        <v/>
      </c>
      <c r="K28" s="1" t="str">
        <f>IF(games[[#This Row],[played]],INDEX(pages!$J$1:$J$759,games[[#This Row],[ind]]),"")</f>
        <v/>
      </c>
      <c r="L28" s="40" t="str">
        <f ca="1">INDEX(fields[char],MATCH(games[[#This Row],[field]],fields[field],0))&amp;IF(games[[#This Row],[tag]]="-","","("&amp;games[[#This Row],[tag]]&amp;")")</f>
        <v>p()</v>
      </c>
    </row>
    <row r="29" spans="1:12" x14ac:dyDescent="0.35">
      <c r="A29" s="1">
        <f t="shared" si="0"/>
        <v>6</v>
      </c>
      <c r="B29" s="1" t="s">
        <v>5</v>
      </c>
      <c r="C29" s="1">
        <f>INDEX(fields[column],MATCH(games[[#This Row],[field]],fields[field],0))</f>
        <v>3</v>
      </c>
      <c r="D29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9" s="40" t="str">
        <f ca="1">IF(LEN(games[[#This Row],[pair]])=3,MID(games[[#This Row],[pair]],2,1),"")</f>
        <v/>
      </c>
      <c r="F29" s="1">
        <f t="array" ref="F29">MATCH(1,(pages!$A$1:$A$957=games[[#This Row],[r]])*(pages!$B$1:$B$957=games[[#This Row],[field]]),0)</f>
        <v>33</v>
      </c>
      <c r="G29" s="1" t="b">
        <f>INDEX(pages!$L$1:$L$957,games[[#This Row],[ind]])</f>
        <v>0</v>
      </c>
      <c r="H29" s="1" t="str">
        <f ca="1">_xlfn.IFNA(IF(LEN(games[[#This Row],[pair]])=3,INDEX(teams[id],MATCH(LEFT(games[[#This Row],[pair]]),teams[char],0)),""),"")</f>
        <v/>
      </c>
      <c r="I29" s="1" t="str">
        <f ca="1">_xlfn.IFNA(IF(LEN(games[[#This Row],[pair]])=3,INDEX(teams[id],MATCH(RIGHT(games[[#This Row],[pair]]),teams[char],0)),""),"")</f>
        <v/>
      </c>
      <c r="J29" s="1" t="str">
        <f>IF(games[[#This Row],[played]],INDEX(pages!$I$1:$I$759,games[[#This Row],[ind]]),"")</f>
        <v/>
      </c>
      <c r="K29" s="1" t="str">
        <f>IF(games[[#This Row],[played]],INDEX(pages!$J$1:$J$759,games[[#This Row],[ind]]),"")</f>
        <v/>
      </c>
      <c r="L29" s="40" t="str">
        <f ca="1">INDEX(fields[char],MATCH(games[[#This Row],[field]],fields[field],0))&amp;IF(games[[#This Row],[tag]]="-","","("&amp;games[[#This Row],[tag]]&amp;")")</f>
        <v>k()</v>
      </c>
    </row>
    <row r="30" spans="1:12" x14ac:dyDescent="0.35">
      <c r="A30" s="1">
        <f t="shared" si="0"/>
        <v>6</v>
      </c>
      <c r="B30" s="1" t="s">
        <v>53</v>
      </c>
      <c r="C30" s="1">
        <f>INDEX(fields[column],MATCH(games[[#This Row],[field]],fields[field],0))</f>
        <v>4</v>
      </c>
      <c r="D30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30" s="40" t="str">
        <f ca="1">IF(LEN(games[[#This Row],[pair]])=3,MID(games[[#This Row],[pair]],2,1),"")</f>
        <v/>
      </c>
      <c r="F30" s="1">
        <f t="array" ref="F30">MATCH(1,(pages!$A$1:$A$957=games[[#This Row],[r]])*(pages!$B$1:$B$957=games[[#This Row],[field]]),0)</f>
        <v>34</v>
      </c>
      <c r="G30" s="1" t="b">
        <f>INDEX(pages!$L$1:$L$957,games[[#This Row],[ind]])</f>
        <v>0</v>
      </c>
      <c r="H30" s="1" t="str">
        <f ca="1">_xlfn.IFNA(IF(LEN(games[[#This Row],[pair]])=3,INDEX(teams[id],MATCH(LEFT(games[[#This Row],[pair]]),teams[char],0)),""),"")</f>
        <v/>
      </c>
      <c r="I30" s="1" t="str">
        <f ca="1">_xlfn.IFNA(IF(LEN(games[[#This Row],[pair]])=3,INDEX(teams[id],MATCH(RIGHT(games[[#This Row],[pair]]),teams[char],0)),""),"")</f>
        <v/>
      </c>
      <c r="J30" s="1" t="str">
        <f>IF(games[[#This Row],[played]],INDEX(pages!$I$1:$I$759,games[[#This Row],[ind]]),"")</f>
        <v/>
      </c>
      <c r="K30" s="1" t="str">
        <f>IF(games[[#This Row],[played]],INDEX(pages!$J$1:$J$759,games[[#This Row],[ind]]),"")</f>
        <v/>
      </c>
      <c r="L30" s="40" t="str">
        <f ca="1">INDEX(fields[char],MATCH(games[[#This Row],[field]],fields[field],0))&amp;IF(games[[#This Row],[tag]]="-","","("&amp;games[[#This Row],[tag]]&amp;")")</f>
        <v>v()</v>
      </c>
    </row>
    <row r="31" spans="1:12" x14ac:dyDescent="0.35">
      <c r="A31" s="1">
        <f t="shared" si="0"/>
        <v>6</v>
      </c>
      <c r="B31" s="1" t="s">
        <v>54</v>
      </c>
      <c r="C31" s="1">
        <f>INDEX(fields[column],MATCH(games[[#This Row],[field]],fields[field],0))</f>
        <v>5</v>
      </c>
      <c r="D31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31" s="40" t="str">
        <f ca="1">IF(LEN(games[[#This Row],[pair]])=3,MID(games[[#This Row],[pair]],2,1),"")</f>
        <v/>
      </c>
      <c r="F31" s="1">
        <f t="array" ref="F31">MATCH(1,(pages!$A$1:$A$957=games[[#This Row],[r]])*(pages!$B$1:$B$957=games[[#This Row],[field]]),0)</f>
        <v>35</v>
      </c>
      <c r="G31" s="1" t="b">
        <f>INDEX(pages!$L$1:$L$957,games[[#This Row],[ind]])</f>
        <v>0</v>
      </c>
      <c r="H31" s="1" t="str">
        <f ca="1">_xlfn.IFNA(IF(LEN(games[[#This Row],[pair]])=3,INDEX(teams[id],MATCH(LEFT(games[[#This Row],[pair]]),teams[char],0)),""),"")</f>
        <v/>
      </c>
      <c r="I31" s="1" t="str">
        <f ca="1">_xlfn.IFNA(IF(LEN(games[[#This Row],[pair]])=3,INDEX(teams[id],MATCH(RIGHT(games[[#This Row],[pair]]),teams[char],0)),""),"")</f>
        <v/>
      </c>
      <c r="J31" s="1" t="str">
        <f>IF(games[[#This Row],[played]],INDEX(pages!$I$1:$I$759,games[[#This Row],[ind]]),"")</f>
        <v/>
      </c>
      <c r="K31" s="1" t="str">
        <f>IF(games[[#This Row],[played]],INDEX(pages!$J$1:$J$759,games[[#This Row],[ind]]),"")</f>
        <v/>
      </c>
      <c r="L31" s="40" t="str">
        <f ca="1">INDEX(fields[char],MATCH(games[[#This Row],[field]],fields[field],0))&amp;IF(games[[#This Row],[tag]]="-","","("&amp;games[[#This Row],[tag]]&amp;")")</f>
        <v>m()</v>
      </c>
    </row>
    <row r="32" spans="1:12" x14ac:dyDescent="0.35">
      <c r="A32" s="1">
        <f t="shared" si="0"/>
        <v>7</v>
      </c>
      <c r="B32" s="1" t="s">
        <v>3</v>
      </c>
      <c r="C32" s="1">
        <f>INDEX(fields[column],MATCH(games[[#This Row],[field]],fields[field],0))</f>
        <v>1</v>
      </c>
      <c r="D32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32" s="40" t="str">
        <f ca="1">IF(LEN(games[[#This Row],[pair]])=3,MID(games[[#This Row],[pair]],2,1),"")</f>
        <v/>
      </c>
      <c r="F32" s="1">
        <f t="array" ref="F32">MATCH(1,(pages!$A$1:$A$957=games[[#This Row],[r]])*(pages!$B$1:$B$957=games[[#This Row],[field]]),0)</f>
        <v>36</v>
      </c>
      <c r="G32" s="1" t="b">
        <f>INDEX(pages!$L$1:$L$957,games[[#This Row],[ind]])</f>
        <v>0</v>
      </c>
      <c r="H32" s="1" t="str">
        <f ca="1">_xlfn.IFNA(IF(LEN(games[[#This Row],[pair]])=3,INDEX(teams[id],MATCH(LEFT(games[[#This Row],[pair]]),teams[char],0)),""),"")</f>
        <v/>
      </c>
      <c r="I32" s="1" t="str">
        <f ca="1">_xlfn.IFNA(IF(LEN(games[[#This Row],[pair]])=3,INDEX(teams[id],MATCH(RIGHT(games[[#This Row],[pair]]),teams[char],0)),""),"")</f>
        <v/>
      </c>
      <c r="J32" s="1" t="str">
        <f>IF(games[[#This Row],[played]],INDEX(pages!$I$1:$I$759,games[[#This Row],[ind]]),"")</f>
        <v/>
      </c>
      <c r="K32" s="1" t="str">
        <f>IF(games[[#This Row],[played]],INDEX(pages!$J$1:$J$759,games[[#This Row],[ind]]),"")</f>
        <v/>
      </c>
      <c r="L32" s="40" t="str">
        <f ca="1">INDEX(fields[char],MATCH(games[[#This Row],[field]],fields[field],0))&amp;IF(games[[#This Row],[tag]]="-","","("&amp;games[[#This Row],[tag]]&amp;")")</f>
        <v>p()</v>
      </c>
    </row>
    <row r="33" spans="1:12" x14ac:dyDescent="0.35">
      <c r="A33" s="1">
        <f t="shared" si="0"/>
        <v>7</v>
      </c>
      <c r="B33" s="1" t="s">
        <v>4</v>
      </c>
      <c r="C33" s="1">
        <f>INDEX(fields[column],MATCH(games[[#This Row],[field]],fields[field],0))</f>
        <v>2</v>
      </c>
      <c r="D33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33" s="40" t="str">
        <f ca="1">IF(LEN(games[[#This Row],[pair]])=3,MID(games[[#This Row],[pair]],2,1),"")</f>
        <v/>
      </c>
      <c r="F33" s="1">
        <f t="array" ref="F33">MATCH(1,(pages!$A$1:$A$957=games[[#This Row],[r]])*(pages!$B$1:$B$957=games[[#This Row],[field]]),0)</f>
        <v>37</v>
      </c>
      <c r="G33" s="1" t="b">
        <f>INDEX(pages!$L$1:$L$957,games[[#This Row],[ind]])</f>
        <v>0</v>
      </c>
      <c r="H33" s="1" t="str">
        <f ca="1">_xlfn.IFNA(IF(LEN(games[[#This Row],[pair]])=3,INDEX(teams[id],MATCH(LEFT(games[[#This Row],[pair]]),teams[char],0)),""),"")</f>
        <v/>
      </c>
      <c r="I33" s="1" t="str">
        <f ca="1">_xlfn.IFNA(IF(LEN(games[[#This Row],[pair]])=3,INDEX(teams[id],MATCH(RIGHT(games[[#This Row],[pair]]),teams[char],0)),""),"")</f>
        <v/>
      </c>
      <c r="J33" s="1" t="str">
        <f>IF(games[[#This Row],[played]],INDEX(pages!$I$1:$I$759,games[[#This Row],[ind]]),"")</f>
        <v/>
      </c>
      <c r="K33" s="1" t="str">
        <f>IF(games[[#This Row],[played]],INDEX(pages!$J$1:$J$759,games[[#This Row],[ind]]),"")</f>
        <v/>
      </c>
      <c r="L33" s="40" t="str">
        <f ca="1">INDEX(fields[char],MATCH(games[[#This Row],[field]],fields[field],0))&amp;IF(games[[#This Row],[tag]]="-","","("&amp;games[[#This Row],[tag]]&amp;")")</f>
        <v>p()</v>
      </c>
    </row>
    <row r="34" spans="1:12" x14ac:dyDescent="0.35">
      <c r="A34" s="1">
        <f t="shared" si="0"/>
        <v>7</v>
      </c>
      <c r="B34" s="1" t="s">
        <v>5</v>
      </c>
      <c r="C34" s="1">
        <f>INDEX(fields[column],MATCH(games[[#This Row],[field]],fields[field],0))</f>
        <v>3</v>
      </c>
      <c r="D34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34" s="40" t="str">
        <f ca="1">IF(LEN(games[[#This Row],[pair]])=3,MID(games[[#This Row],[pair]],2,1),"")</f>
        <v/>
      </c>
      <c r="F34" s="1">
        <f t="array" ref="F34">MATCH(1,(pages!$A$1:$A$957=games[[#This Row],[r]])*(pages!$B$1:$B$957=games[[#This Row],[field]]),0)</f>
        <v>38</v>
      </c>
      <c r="G34" s="1" t="b">
        <f>INDEX(pages!$L$1:$L$957,games[[#This Row],[ind]])</f>
        <v>0</v>
      </c>
      <c r="H34" s="1" t="str">
        <f ca="1">_xlfn.IFNA(IF(LEN(games[[#This Row],[pair]])=3,INDEX(teams[id],MATCH(LEFT(games[[#This Row],[pair]]),teams[char],0)),""),"")</f>
        <v/>
      </c>
      <c r="I34" s="1" t="str">
        <f ca="1">_xlfn.IFNA(IF(LEN(games[[#This Row],[pair]])=3,INDEX(teams[id],MATCH(RIGHT(games[[#This Row],[pair]]),teams[char],0)),""),"")</f>
        <v/>
      </c>
      <c r="J34" s="1" t="str">
        <f>IF(games[[#This Row],[played]],INDEX(pages!$I$1:$I$759,games[[#This Row],[ind]]),"")</f>
        <v/>
      </c>
      <c r="K34" s="1" t="str">
        <f>IF(games[[#This Row],[played]],INDEX(pages!$J$1:$J$759,games[[#This Row],[ind]]),"")</f>
        <v/>
      </c>
      <c r="L34" s="40" t="str">
        <f ca="1">INDEX(fields[char],MATCH(games[[#This Row],[field]],fields[field],0))&amp;IF(games[[#This Row],[tag]]="-","","("&amp;games[[#This Row],[tag]]&amp;")")</f>
        <v>k()</v>
      </c>
    </row>
    <row r="35" spans="1:12" x14ac:dyDescent="0.35">
      <c r="A35" s="1">
        <f t="shared" si="0"/>
        <v>7</v>
      </c>
      <c r="B35" s="1" t="s">
        <v>53</v>
      </c>
      <c r="C35" s="1">
        <f>INDEX(fields[column],MATCH(games[[#This Row],[field]],fields[field],0))</f>
        <v>4</v>
      </c>
      <c r="D35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35" s="40" t="str">
        <f ca="1">IF(LEN(games[[#This Row],[pair]])=3,MID(games[[#This Row],[pair]],2,1),"")</f>
        <v/>
      </c>
      <c r="F35" s="1">
        <f t="array" ref="F35">MATCH(1,(pages!$A$1:$A$957=games[[#This Row],[r]])*(pages!$B$1:$B$957=games[[#This Row],[field]]),0)</f>
        <v>39</v>
      </c>
      <c r="G35" s="1" t="b">
        <f>INDEX(pages!$L$1:$L$957,games[[#This Row],[ind]])</f>
        <v>0</v>
      </c>
      <c r="H35" s="1" t="str">
        <f ca="1">_xlfn.IFNA(IF(LEN(games[[#This Row],[pair]])=3,INDEX(teams[id],MATCH(LEFT(games[[#This Row],[pair]]),teams[char],0)),""),"")</f>
        <v/>
      </c>
      <c r="I35" s="1" t="str">
        <f ca="1">_xlfn.IFNA(IF(LEN(games[[#This Row],[pair]])=3,INDEX(teams[id],MATCH(RIGHT(games[[#This Row],[pair]]),teams[char],0)),""),"")</f>
        <v/>
      </c>
      <c r="J35" s="1" t="str">
        <f>IF(games[[#This Row],[played]],INDEX(pages!$I$1:$I$759,games[[#This Row],[ind]]),"")</f>
        <v/>
      </c>
      <c r="K35" s="1" t="str">
        <f>IF(games[[#This Row],[played]],INDEX(pages!$J$1:$J$759,games[[#This Row],[ind]]),"")</f>
        <v/>
      </c>
      <c r="L35" s="40" t="str">
        <f ca="1">INDEX(fields[char],MATCH(games[[#This Row],[field]],fields[field],0))&amp;IF(games[[#This Row],[tag]]="-","","("&amp;games[[#This Row],[tag]]&amp;")")</f>
        <v>v()</v>
      </c>
    </row>
    <row r="36" spans="1:12" x14ac:dyDescent="0.35">
      <c r="A36" s="1">
        <f t="shared" si="0"/>
        <v>7</v>
      </c>
      <c r="B36" s="1" t="s">
        <v>54</v>
      </c>
      <c r="C36" s="1">
        <f>INDEX(fields[column],MATCH(games[[#This Row],[field]],fields[field],0))</f>
        <v>5</v>
      </c>
      <c r="D36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36" s="40" t="str">
        <f ca="1">IF(LEN(games[[#This Row],[pair]])=3,MID(games[[#This Row],[pair]],2,1),"")</f>
        <v/>
      </c>
      <c r="F36" s="1">
        <f t="array" ref="F36">MATCH(1,(pages!$A$1:$A$957=games[[#This Row],[r]])*(pages!$B$1:$B$957=games[[#This Row],[field]]),0)</f>
        <v>40</v>
      </c>
      <c r="G36" s="1" t="b">
        <f>INDEX(pages!$L$1:$L$957,games[[#This Row],[ind]])</f>
        <v>0</v>
      </c>
      <c r="H36" s="1" t="str">
        <f ca="1">_xlfn.IFNA(IF(LEN(games[[#This Row],[pair]])=3,INDEX(teams[id],MATCH(LEFT(games[[#This Row],[pair]]),teams[char],0)),""),"")</f>
        <v/>
      </c>
      <c r="I36" s="1" t="str">
        <f ca="1">_xlfn.IFNA(IF(LEN(games[[#This Row],[pair]])=3,INDEX(teams[id],MATCH(RIGHT(games[[#This Row],[pair]]),teams[char],0)),""),"")</f>
        <v/>
      </c>
      <c r="J36" s="1" t="str">
        <f>IF(games[[#This Row],[played]],INDEX(pages!$I$1:$I$759,games[[#This Row],[ind]]),"")</f>
        <v/>
      </c>
      <c r="K36" s="1" t="str">
        <f>IF(games[[#This Row],[played]],INDEX(pages!$J$1:$J$759,games[[#This Row],[ind]]),"")</f>
        <v/>
      </c>
      <c r="L36" s="40" t="str">
        <f ca="1">INDEX(fields[char],MATCH(games[[#This Row],[field]],fields[field],0))&amp;IF(games[[#This Row],[tag]]="-","","("&amp;games[[#This Row],[tag]]&amp;")")</f>
        <v>m()</v>
      </c>
    </row>
    <row r="37" spans="1:12" x14ac:dyDescent="0.35">
      <c r="A37" s="1">
        <f t="shared" si="0"/>
        <v>8</v>
      </c>
      <c r="B37" s="1" t="s">
        <v>3</v>
      </c>
      <c r="C37" s="1">
        <f>INDEX(fields[column],MATCH(games[[#This Row],[field]],fields[field],0))</f>
        <v>1</v>
      </c>
      <c r="D37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37" s="40" t="str">
        <f ca="1">IF(LEN(games[[#This Row],[pair]])=3,MID(games[[#This Row],[pair]],2,1),"")</f>
        <v/>
      </c>
      <c r="F37" s="1">
        <f t="array" ref="F37">MATCH(1,(pages!$A$1:$A$957=games[[#This Row],[r]])*(pages!$B$1:$B$957=games[[#This Row],[field]]),0)</f>
        <v>41</v>
      </c>
      <c r="G37" s="1" t="b">
        <f>INDEX(pages!$L$1:$L$957,games[[#This Row],[ind]])</f>
        <v>0</v>
      </c>
      <c r="H37" s="1" t="str">
        <f ca="1">_xlfn.IFNA(IF(LEN(games[[#This Row],[pair]])=3,INDEX(teams[id],MATCH(LEFT(games[[#This Row],[pair]]),teams[char],0)),""),"")</f>
        <v/>
      </c>
      <c r="I37" s="1" t="str">
        <f ca="1">_xlfn.IFNA(IF(LEN(games[[#This Row],[pair]])=3,INDEX(teams[id],MATCH(RIGHT(games[[#This Row],[pair]]),teams[char],0)),""),"")</f>
        <v/>
      </c>
      <c r="J37" s="1" t="str">
        <f>IF(games[[#This Row],[played]],INDEX(pages!$I$1:$I$759,games[[#This Row],[ind]]),"")</f>
        <v/>
      </c>
      <c r="K37" s="1" t="str">
        <f>IF(games[[#This Row],[played]],INDEX(pages!$J$1:$J$759,games[[#This Row],[ind]]),"")</f>
        <v/>
      </c>
      <c r="L37" s="40" t="str">
        <f ca="1">INDEX(fields[char],MATCH(games[[#This Row],[field]],fields[field],0))&amp;IF(games[[#This Row],[tag]]="-","","("&amp;games[[#This Row],[tag]]&amp;")")</f>
        <v>p()</v>
      </c>
    </row>
    <row r="38" spans="1:12" x14ac:dyDescent="0.35">
      <c r="A38" s="1">
        <f t="shared" si="0"/>
        <v>8</v>
      </c>
      <c r="B38" s="1" t="s">
        <v>4</v>
      </c>
      <c r="C38" s="1">
        <f>INDEX(fields[column],MATCH(games[[#This Row],[field]],fields[field],0))</f>
        <v>2</v>
      </c>
      <c r="D38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38" s="40" t="str">
        <f ca="1">IF(LEN(games[[#This Row],[pair]])=3,MID(games[[#This Row],[pair]],2,1),"")</f>
        <v/>
      </c>
      <c r="F38" s="1">
        <f t="array" ref="F38">MATCH(1,(pages!$A$1:$A$957=games[[#This Row],[r]])*(pages!$B$1:$B$957=games[[#This Row],[field]]),0)</f>
        <v>42</v>
      </c>
      <c r="G38" s="1" t="b">
        <f>INDEX(pages!$L$1:$L$957,games[[#This Row],[ind]])</f>
        <v>0</v>
      </c>
      <c r="H38" s="1" t="str">
        <f ca="1">_xlfn.IFNA(IF(LEN(games[[#This Row],[pair]])=3,INDEX(teams[id],MATCH(LEFT(games[[#This Row],[pair]]),teams[char],0)),""),"")</f>
        <v/>
      </c>
      <c r="I38" s="1" t="str">
        <f ca="1">_xlfn.IFNA(IF(LEN(games[[#This Row],[pair]])=3,INDEX(teams[id],MATCH(RIGHT(games[[#This Row],[pair]]),teams[char],0)),""),"")</f>
        <v/>
      </c>
      <c r="J38" s="1" t="str">
        <f>IF(games[[#This Row],[played]],INDEX(pages!$I$1:$I$759,games[[#This Row],[ind]]),"")</f>
        <v/>
      </c>
      <c r="K38" s="1" t="str">
        <f>IF(games[[#This Row],[played]],INDEX(pages!$J$1:$J$759,games[[#This Row],[ind]]),"")</f>
        <v/>
      </c>
      <c r="L38" s="40" t="str">
        <f ca="1">INDEX(fields[char],MATCH(games[[#This Row],[field]],fields[field],0))&amp;IF(games[[#This Row],[tag]]="-","","("&amp;games[[#This Row],[tag]]&amp;")")</f>
        <v>p()</v>
      </c>
    </row>
    <row r="39" spans="1:12" x14ac:dyDescent="0.35">
      <c r="A39" s="1">
        <f t="shared" si="0"/>
        <v>8</v>
      </c>
      <c r="B39" s="1" t="s">
        <v>5</v>
      </c>
      <c r="C39" s="1">
        <f>INDEX(fields[column],MATCH(games[[#This Row],[field]],fields[field],0))</f>
        <v>3</v>
      </c>
      <c r="D39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39" s="40" t="str">
        <f ca="1">IF(LEN(games[[#This Row],[pair]])=3,MID(games[[#This Row],[pair]],2,1),"")</f>
        <v/>
      </c>
      <c r="F39" s="1">
        <f t="array" ref="F39">MATCH(1,(pages!$A$1:$A$957=games[[#This Row],[r]])*(pages!$B$1:$B$957=games[[#This Row],[field]]),0)</f>
        <v>43</v>
      </c>
      <c r="G39" s="1" t="b">
        <f>INDEX(pages!$L$1:$L$957,games[[#This Row],[ind]])</f>
        <v>0</v>
      </c>
      <c r="H39" s="1" t="str">
        <f ca="1">_xlfn.IFNA(IF(LEN(games[[#This Row],[pair]])=3,INDEX(teams[id],MATCH(LEFT(games[[#This Row],[pair]]),teams[char],0)),""),"")</f>
        <v/>
      </c>
      <c r="I39" s="1" t="str">
        <f ca="1">_xlfn.IFNA(IF(LEN(games[[#This Row],[pair]])=3,INDEX(teams[id],MATCH(RIGHT(games[[#This Row],[pair]]),teams[char],0)),""),"")</f>
        <v/>
      </c>
      <c r="J39" s="1" t="str">
        <f>IF(games[[#This Row],[played]],INDEX(pages!$I$1:$I$759,games[[#This Row],[ind]]),"")</f>
        <v/>
      </c>
      <c r="K39" s="1" t="str">
        <f>IF(games[[#This Row],[played]],INDEX(pages!$J$1:$J$759,games[[#This Row],[ind]]),"")</f>
        <v/>
      </c>
      <c r="L39" s="40" t="str">
        <f ca="1">INDEX(fields[char],MATCH(games[[#This Row],[field]],fields[field],0))&amp;IF(games[[#This Row],[tag]]="-","","("&amp;games[[#This Row],[tag]]&amp;")")</f>
        <v>k()</v>
      </c>
    </row>
    <row r="40" spans="1:12" x14ac:dyDescent="0.35">
      <c r="A40" s="1">
        <f t="shared" si="0"/>
        <v>8</v>
      </c>
      <c r="B40" s="1" t="s">
        <v>53</v>
      </c>
      <c r="C40" s="1">
        <f>INDEX(fields[column],MATCH(games[[#This Row],[field]],fields[field],0))</f>
        <v>4</v>
      </c>
      <c r="D40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40" s="40" t="str">
        <f ca="1">IF(LEN(games[[#This Row],[pair]])=3,MID(games[[#This Row],[pair]],2,1),"")</f>
        <v/>
      </c>
      <c r="F40" s="1">
        <f t="array" ref="F40">MATCH(1,(pages!$A$1:$A$957=games[[#This Row],[r]])*(pages!$B$1:$B$957=games[[#This Row],[field]]),0)</f>
        <v>44</v>
      </c>
      <c r="G40" s="1" t="b">
        <f>INDEX(pages!$L$1:$L$957,games[[#This Row],[ind]])</f>
        <v>0</v>
      </c>
      <c r="H40" s="1" t="str">
        <f ca="1">_xlfn.IFNA(IF(LEN(games[[#This Row],[pair]])=3,INDEX(teams[id],MATCH(LEFT(games[[#This Row],[pair]]),teams[char],0)),""),"")</f>
        <v/>
      </c>
      <c r="I40" s="1" t="str">
        <f ca="1">_xlfn.IFNA(IF(LEN(games[[#This Row],[pair]])=3,INDEX(teams[id],MATCH(RIGHT(games[[#This Row],[pair]]),teams[char],0)),""),"")</f>
        <v/>
      </c>
      <c r="J40" s="1" t="str">
        <f>IF(games[[#This Row],[played]],INDEX(pages!$I$1:$I$759,games[[#This Row],[ind]]),"")</f>
        <v/>
      </c>
      <c r="K40" s="1" t="str">
        <f>IF(games[[#This Row],[played]],INDEX(pages!$J$1:$J$759,games[[#This Row],[ind]]),"")</f>
        <v/>
      </c>
      <c r="L40" s="40" t="str">
        <f ca="1">INDEX(fields[char],MATCH(games[[#This Row],[field]],fields[field],0))&amp;IF(games[[#This Row],[tag]]="-","","("&amp;games[[#This Row],[tag]]&amp;")")</f>
        <v>v()</v>
      </c>
    </row>
    <row r="41" spans="1:12" x14ac:dyDescent="0.35">
      <c r="A41" s="1">
        <f t="shared" si="0"/>
        <v>8</v>
      </c>
      <c r="B41" s="1" t="s">
        <v>54</v>
      </c>
      <c r="C41" s="1">
        <f>INDEX(fields[column],MATCH(games[[#This Row],[field]],fields[field],0))</f>
        <v>5</v>
      </c>
      <c r="D41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41" s="40" t="str">
        <f ca="1">IF(LEN(games[[#This Row],[pair]])=3,MID(games[[#This Row],[pair]],2,1),"")</f>
        <v/>
      </c>
      <c r="F41" s="1">
        <f t="array" ref="F41">MATCH(1,(pages!$A$1:$A$957=games[[#This Row],[r]])*(pages!$B$1:$B$957=games[[#This Row],[field]]),0)</f>
        <v>45</v>
      </c>
      <c r="G41" s="1" t="b">
        <f>INDEX(pages!$L$1:$L$957,games[[#This Row],[ind]])</f>
        <v>0</v>
      </c>
      <c r="H41" s="1" t="str">
        <f ca="1">_xlfn.IFNA(IF(LEN(games[[#This Row],[pair]])=3,INDEX(teams[id],MATCH(LEFT(games[[#This Row],[pair]]),teams[char],0)),""),"")</f>
        <v/>
      </c>
      <c r="I41" s="1" t="str">
        <f ca="1">_xlfn.IFNA(IF(LEN(games[[#This Row],[pair]])=3,INDEX(teams[id],MATCH(RIGHT(games[[#This Row],[pair]]),teams[char],0)),""),"")</f>
        <v/>
      </c>
      <c r="J41" s="1" t="str">
        <f>IF(games[[#This Row],[played]],INDEX(pages!$I$1:$I$759,games[[#This Row],[ind]]),"")</f>
        <v/>
      </c>
      <c r="K41" s="1" t="str">
        <f>IF(games[[#This Row],[played]],INDEX(pages!$J$1:$J$759,games[[#This Row],[ind]]),"")</f>
        <v/>
      </c>
      <c r="L41" s="40" t="str">
        <f ca="1">INDEX(fields[char],MATCH(games[[#This Row],[field]],fields[field],0))&amp;IF(games[[#This Row],[tag]]="-","","("&amp;games[[#This Row],[tag]]&amp;")")</f>
        <v>m()</v>
      </c>
    </row>
    <row r="42" spans="1:12" x14ac:dyDescent="0.35">
      <c r="A42" s="1">
        <f t="shared" si="0"/>
        <v>9</v>
      </c>
      <c r="B42" s="1" t="s">
        <v>3</v>
      </c>
      <c r="C42" s="1">
        <f>INDEX(fields[column],MATCH(games[[#This Row],[field]],fields[field],0))</f>
        <v>1</v>
      </c>
      <c r="D42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42" s="40" t="str">
        <f ca="1">IF(LEN(games[[#This Row],[pair]])=3,MID(games[[#This Row],[pair]],2,1),"")</f>
        <v/>
      </c>
      <c r="F42" s="1">
        <f t="array" ref="F42">MATCH(1,(pages!$A$1:$A$957=games[[#This Row],[r]])*(pages!$B$1:$B$957=games[[#This Row],[field]]),0)</f>
        <v>48</v>
      </c>
      <c r="G42" s="1" t="b">
        <f>INDEX(pages!$L$1:$L$957,games[[#This Row],[ind]])</f>
        <v>0</v>
      </c>
      <c r="H42" s="1" t="str">
        <f ca="1">_xlfn.IFNA(IF(LEN(games[[#This Row],[pair]])=3,INDEX(teams[id],MATCH(LEFT(games[[#This Row],[pair]]),teams[char],0)),""),"")</f>
        <v/>
      </c>
      <c r="I42" s="1" t="str">
        <f ca="1">_xlfn.IFNA(IF(LEN(games[[#This Row],[pair]])=3,INDEX(teams[id],MATCH(RIGHT(games[[#This Row],[pair]]),teams[char],0)),""),"")</f>
        <v/>
      </c>
      <c r="J42" s="1" t="str">
        <f>IF(games[[#This Row],[played]],INDEX(pages!$I$1:$I$759,games[[#This Row],[ind]]),"")</f>
        <v/>
      </c>
      <c r="K42" s="1" t="str">
        <f>IF(games[[#This Row],[played]],INDEX(pages!$J$1:$J$759,games[[#This Row],[ind]]),"")</f>
        <v/>
      </c>
      <c r="L42" s="40" t="str">
        <f ca="1">INDEX(fields[char],MATCH(games[[#This Row],[field]],fields[field],0))&amp;IF(games[[#This Row],[tag]]="-","","("&amp;games[[#This Row],[tag]]&amp;")")</f>
        <v>p()</v>
      </c>
    </row>
    <row r="43" spans="1:12" x14ac:dyDescent="0.35">
      <c r="A43" s="1">
        <f t="shared" si="0"/>
        <v>9</v>
      </c>
      <c r="B43" s="1" t="s">
        <v>4</v>
      </c>
      <c r="C43" s="1">
        <f>INDEX(fields[column],MATCH(games[[#This Row],[field]],fields[field],0))</f>
        <v>2</v>
      </c>
      <c r="D43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43" s="40" t="str">
        <f ca="1">IF(LEN(games[[#This Row],[pair]])=3,MID(games[[#This Row],[pair]],2,1),"")</f>
        <v/>
      </c>
      <c r="F43" s="1">
        <f t="array" ref="F43">MATCH(1,(pages!$A$1:$A$957=games[[#This Row],[r]])*(pages!$B$1:$B$957=games[[#This Row],[field]]),0)</f>
        <v>49</v>
      </c>
      <c r="G43" s="1" t="b">
        <f>INDEX(pages!$L$1:$L$957,games[[#This Row],[ind]])</f>
        <v>0</v>
      </c>
      <c r="H43" s="1" t="str">
        <f ca="1">_xlfn.IFNA(IF(LEN(games[[#This Row],[pair]])=3,INDEX(teams[id],MATCH(LEFT(games[[#This Row],[pair]]),teams[char],0)),""),"")</f>
        <v/>
      </c>
      <c r="I43" s="1" t="str">
        <f ca="1">_xlfn.IFNA(IF(LEN(games[[#This Row],[pair]])=3,INDEX(teams[id],MATCH(RIGHT(games[[#This Row],[pair]]),teams[char],0)),""),"")</f>
        <v/>
      </c>
      <c r="J43" s="1" t="str">
        <f>IF(games[[#This Row],[played]],INDEX(pages!$I$1:$I$759,games[[#This Row],[ind]]),"")</f>
        <v/>
      </c>
      <c r="K43" s="1" t="str">
        <f>IF(games[[#This Row],[played]],INDEX(pages!$J$1:$J$759,games[[#This Row],[ind]]),"")</f>
        <v/>
      </c>
      <c r="L43" s="40" t="str">
        <f ca="1">INDEX(fields[char],MATCH(games[[#This Row],[field]],fields[field],0))&amp;IF(games[[#This Row],[tag]]="-","","("&amp;games[[#This Row],[tag]]&amp;")")</f>
        <v>p()</v>
      </c>
    </row>
    <row r="44" spans="1:12" x14ac:dyDescent="0.35">
      <c r="A44" s="1">
        <f t="shared" si="0"/>
        <v>9</v>
      </c>
      <c r="B44" s="1" t="s">
        <v>5</v>
      </c>
      <c r="C44" s="1">
        <f>INDEX(fields[column],MATCH(games[[#This Row],[field]],fields[field],0))</f>
        <v>3</v>
      </c>
      <c r="D44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44" s="40" t="str">
        <f ca="1">IF(LEN(games[[#This Row],[pair]])=3,MID(games[[#This Row],[pair]],2,1),"")</f>
        <v/>
      </c>
      <c r="F44" s="1">
        <f t="array" ref="F44">MATCH(1,(pages!$A$1:$A$957=games[[#This Row],[r]])*(pages!$B$1:$B$957=games[[#This Row],[field]]),0)</f>
        <v>50</v>
      </c>
      <c r="G44" s="1" t="b">
        <f>INDEX(pages!$L$1:$L$957,games[[#This Row],[ind]])</f>
        <v>0</v>
      </c>
      <c r="H44" s="1" t="str">
        <f ca="1">_xlfn.IFNA(IF(LEN(games[[#This Row],[pair]])=3,INDEX(teams[id],MATCH(LEFT(games[[#This Row],[pair]]),teams[char],0)),""),"")</f>
        <v/>
      </c>
      <c r="I44" s="1" t="str">
        <f ca="1">_xlfn.IFNA(IF(LEN(games[[#This Row],[pair]])=3,INDEX(teams[id],MATCH(RIGHT(games[[#This Row],[pair]]),teams[char],0)),""),"")</f>
        <v/>
      </c>
      <c r="J44" s="1" t="str">
        <f>IF(games[[#This Row],[played]],INDEX(pages!$I$1:$I$759,games[[#This Row],[ind]]),"")</f>
        <v/>
      </c>
      <c r="K44" s="1" t="str">
        <f>IF(games[[#This Row],[played]],INDEX(pages!$J$1:$J$759,games[[#This Row],[ind]]),"")</f>
        <v/>
      </c>
      <c r="L44" s="40" t="str">
        <f ca="1">INDEX(fields[char],MATCH(games[[#This Row],[field]],fields[field],0))&amp;IF(games[[#This Row],[tag]]="-","","("&amp;games[[#This Row],[tag]]&amp;")")</f>
        <v>k()</v>
      </c>
    </row>
    <row r="45" spans="1:12" x14ac:dyDescent="0.35">
      <c r="A45" s="1">
        <f t="shared" si="0"/>
        <v>9</v>
      </c>
      <c r="B45" s="1" t="s">
        <v>53</v>
      </c>
      <c r="C45" s="1">
        <f>INDEX(fields[column],MATCH(games[[#This Row],[field]],fields[field],0))</f>
        <v>4</v>
      </c>
      <c r="D45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45" s="40" t="str">
        <f ca="1">IF(LEN(games[[#This Row],[pair]])=3,MID(games[[#This Row],[pair]],2,1),"")</f>
        <v/>
      </c>
      <c r="F45" s="1">
        <f t="array" ref="F45">MATCH(1,(pages!$A$1:$A$957=games[[#This Row],[r]])*(pages!$B$1:$B$957=games[[#This Row],[field]]),0)</f>
        <v>51</v>
      </c>
      <c r="G45" s="1" t="b">
        <f>INDEX(pages!$L$1:$L$957,games[[#This Row],[ind]])</f>
        <v>0</v>
      </c>
      <c r="H45" s="1" t="str">
        <f ca="1">_xlfn.IFNA(IF(LEN(games[[#This Row],[pair]])=3,INDEX(teams[id],MATCH(LEFT(games[[#This Row],[pair]]),teams[char],0)),""),"")</f>
        <v/>
      </c>
      <c r="I45" s="1" t="str">
        <f ca="1">_xlfn.IFNA(IF(LEN(games[[#This Row],[pair]])=3,INDEX(teams[id],MATCH(RIGHT(games[[#This Row],[pair]]),teams[char],0)),""),"")</f>
        <v/>
      </c>
      <c r="J45" s="1" t="str">
        <f>IF(games[[#This Row],[played]],INDEX(pages!$I$1:$I$759,games[[#This Row],[ind]]),"")</f>
        <v/>
      </c>
      <c r="K45" s="1" t="str">
        <f>IF(games[[#This Row],[played]],INDEX(pages!$J$1:$J$759,games[[#This Row],[ind]]),"")</f>
        <v/>
      </c>
      <c r="L45" s="40" t="str">
        <f ca="1">INDEX(fields[char],MATCH(games[[#This Row],[field]],fields[field],0))&amp;IF(games[[#This Row],[tag]]="-","","("&amp;games[[#This Row],[tag]]&amp;")")</f>
        <v>v()</v>
      </c>
    </row>
    <row r="46" spans="1:12" x14ac:dyDescent="0.35">
      <c r="A46" s="1">
        <f t="shared" si="0"/>
        <v>9</v>
      </c>
      <c r="B46" s="1" t="s">
        <v>54</v>
      </c>
      <c r="C46" s="1">
        <f>INDEX(fields[column],MATCH(games[[#This Row],[field]],fields[field],0))</f>
        <v>5</v>
      </c>
      <c r="D46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46" s="40" t="str">
        <f ca="1">IF(LEN(games[[#This Row],[pair]])=3,MID(games[[#This Row],[pair]],2,1),"")</f>
        <v/>
      </c>
      <c r="F46" s="1">
        <f t="array" ref="F46">MATCH(1,(pages!$A$1:$A$957=games[[#This Row],[r]])*(pages!$B$1:$B$957=games[[#This Row],[field]]),0)</f>
        <v>52</v>
      </c>
      <c r="G46" s="1" t="b">
        <f>INDEX(pages!$L$1:$L$957,games[[#This Row],[ind]])</f>
        <v>0</v>
      </c>
      <c r="H46" s="1" t="str">
        <f ca="1">_xlfn.IFNA(IF(LEN(games[[#This Row],[pair]])=3,INDEX(teams[id],MATCH(LEFT(games[[#This Row],[pair]]),teams[char],0)),""),"")</f>
        <v/>
      </c>
      <c r="I46" s="1" t="str">
        <f ca="1">_xlfn.IFNA(IF(LEN(games[[#This Row],[pair]])=3,INDEX(teams[id],MATCH(RIGHT(games[[#This Row],[pair]]),teams[char],0)),""),"")</f>
        <v/>
      </c>
      <c r="J46" s="1" t="str">
        <f>IF(games[[#This Row],[played]],INDEX(pages!$I$1:$I$759,games[[#This Row],[ind]]),"")</f>
        <v/>
      </c>
      <c r="K46" s="1" t="str">
        <f>IF(games[[#This Row],[played]],INDEX(pages!$J$1:$J$759,games[[#This Row],[ind]]),"")</f>
        <v/>
      </c>
      <c r="L46" s="40" t="str">
        <f ca="1">INDEX(fields[char],MATCH(games[[#This Row],[field]],fields[field],0))&amp;IF(games[[#This Row],[tag]]="-","","("&amp;games[[#This Row],[tag]]&amp;")")</f>
        <v>m()</v>
      </c>
    </row>
    <row r="47" spans="1:12" x14ac:dyDescent="0.35">
      <c r="A47" s="1">
        <f t="shared" si="0"/>
        <v>10</v>
      </c>
      <c r="B47" s="1" t="s">
        <v>3</v>
      </c>
      <c r="C47" s="1">
        <f>INDEX(fields[column],MATCH(games[[#This Row],[field]],fields[field],0))</f>
        <v>1</v>
      </c>
      <c r="D47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47" s="40" t="str">
        <f ca="1">IF(LEN(games[[#This Row],[pair]])=3,MID(games[[#This Row],[pair]],2,1),"")</f>
        <v/>
      </c>
      <c r="F47" s="1">
        <f t="array" ref="F47">MATCH(1,(pages!$A$1:$A$957=games[[#This Row],[r]])*(pages!$B$1:$B$957=games[[#This Row],[field]]),0)</f>
        <v>53</v>
      </c>
      <c r="G47" s="1" t="b">
        <f>INDEX(pages!$L$1:$L$957,games[[#This Row],[ind]])</f>
        <v>0</v>
      </c>
      <c r="H47" s="1" t="str">
        <f ca="1">_xlfn.IFNA(IF(LEN(games[[#This Row],[pair]])=3,INDEX(teams[id],MATCH(LEFT(games[[#This Row],[pair]]),teams[char],0)),""),"")</f>
        <v/>
      </c>
      <c r="I47" s="1" t="str">
        <f ca="1">_xlfn.IFNA(IF(LEN(games[[#This Row],[pair]])=3,INDEX(teams[id],MATCH(RIGHT(games[[#This Row],[pair]]),teams[char],0)),""),"")</f>
        <v/>
      </c>
      <c r="J47" s="1" t="str">
        <f>IF(games[[#This Row],[played]],INDEX(pages!$I$1:$I$759,games[[#This Row],[ind]]),"")</f>
        <v/>
      </c>
      <c r="K47" s="1" t="str">
        <f>IF(games[[#This Row],[played]],INDEX(pages!$J$1:$J$759,games[[#This Row],[ind]]),"")</f>
        <v/>
      </c>
      <c r="L47" s="40" t="str">
        <f ca="1">INDEX(fields[char],MATCH(games[[#This Row],[field]],fields[field],0))&amp;IF(games[[#This Row],[tag]]="-","","("&amp;games[[#This Row],[tag]]&amp;")")</f>
        <v>p()</v>
      </c>
    </row>
    <row r="48" spans="1:12" x14ac:dyDescent="0.35">
      <c r="A48" s="1">
        <f t="shared" si="0"/>
        <v>10</v>
      </c>
      <c r="B48" s="1" t="s">
        <v>4</v>
      </c>
      <c r="C48" s="1">
        <f>INDEX(fields[column],MATCH(games[[#This Row],[field]],fields[field],0))</f>
        <v>2</v>
      </c>
      <c r="D48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48" s="40" t="str">
        <f ca="1">IF(LEN(games[[#This Row],[pair]])=3,MID(games[[#This Row],[pair]],2,1),"")</f>
        <v/>
      </c>
      <c r="F48" s="1">
        <f t="array" ref="F48">MATCH(1,(pages!$A$1:$A$957=games[[#This Row],[r]])*(pages!$B$1:$B$957=games[[#This Row],[field]]),0)</f>
        <v>54</v>
      </c>
      <c r="G48" s="1" t="b">
        <f>INDEX(pages!$L$1:$L$957,games[[#This Row],[ind]])</f>
        <v>0</v>
      </c>
      <c r="H48" s="1" t="str">
        <f ca="1">_xlfn.IFNA(IF(LEN(games[[#This Row],[pair]])=3,INDEX(teams[id],MATCH(LEFT(games[[#This Row],[pair]]),teams[char],0)),""),"")</f>
        <v/>
      </c>
      <c r="I48" s="1" t="str">
        <f ca="1">_xlfn.IFNA(IF(LEN(games[[#This Row],[pair]])=3,INDEX(teams[id],MATCH(RIGHT(games[[#This Row],[pair]]),teams[char],0)),""),"")</f>
        <v/>
      </c>
      <c r="J48" s="1" t="str">
        <f>IF(games[[#This Row],[played]],INDEX(pages!$I$1:$I$759,games[[#This Row],[ind]]),"")</f>
        <v/>
      </c>
      <c r="K48" s="1" t="str">
        <f>IF(games[[#This Row],[played]],INDEX(pages!$J$1:$J$759,games[[#This Row],[ind]]),"")</f>
        <v/>
      </c>
      <c r="L48" s="40" t="str">
        <f ca="1">INDEX(fields[char],MATCH(games[[#This Row],[field]],fields[field],0))&amp;IF(games[[#This Row],[tag]]="-","","("&amp;games[[#This Row],[tag]]&amp;")")</f>
        <v>p()</v>
      </c>
    </row>
    <row r="49" spans="1:12" x14ac:dyDescent="0.35">
      <c r="A49" s="1">
        <f t="shared" si="0"/>
        <v>10</v>
      </c>
      <c r="B49" s="1" t="s">
        <v>5</v>
      </c>
      <c r="C49" s="1">
        <f>INDEX(fields[column],MATCH(games[[#This Row],[field]],fields[field],0))</f>
        <v>3</v>
      </c>
      <c r="D49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49" s="40" t="str">
        <f ca="1">IF(LEN(games[[#This Row],[pair]])=3,MID(games[[#This Row],[pair]],2,1),"")</f>
        <v/>
      </c>
      <c r="F49" s="1">
        <f t="array" ref="F49">MATCH(1,(pages!$A$1:$A$957=games[[#This Row],[r]])*(pages!$B$1:$B$957=games[[#This Row],[field]]),0)</f>
        <v>55</v>
      </c>
      <c r="G49" s="1" t="b">
        <f>INDEX(pages!$L$1:$L$957,games[[#This Row],[ind]])</f>
        <v>0</v>
      </c>
      <c r="H49" s="1" t="str">
        <f ca="1">_xlfn.IFNA(IF(LEN(games[[#This Row],[pair]])=3,INDEX(teams[id],MATCH(LEFT(games[[#This Row],[pair]]),teams[char],0)),""),"")</f>
        <v/>
      </c>
      <c r="I49" s="1" t="str">
        <f ca="1">_xlfn.IFNA(IF(LEN(games[[#This Row],[pair]])=3,INDEX(teams[id],MATCH(RIGHT(games[[#This Row],[pair]]),teams[char],0)),""),"")</f>
        <v/>
      </c>
      <c r="J49" s="1" t="str">
        <f>IF(games[[#This Row],[played]],INDEX(pages!$I$1:$I$759,games[[#This Row],[ind]]),"")</f>
        <v/>
      </c>
      <c r="K49" s="1" t="str">
        <f>IF(games[[#This Row],[played]],INDEX(pages!$J$1:$J$759,games[[#This Row],[ind]]),"")</f>
        <v/>
      </c>
      <c r="L49" s="40" t="str">
        <f ca="1">INDEX(fields[char],MATCH(games[[#This Row],[field]],fields[field],0))&amp;IF(games[[#This Row],[tag]]="-","","("&amp;games[[#This Row],[tag]]&amp;")")</f>
        <v>k()</v>
      </c>
    </row>
    <row r="50" spans="1:12" x14ac:dyDescent="0.35">
      <c r="A50" s="1">
        <f t="shared" si="0"/>
        <v>10</v>
      </c>
      <c r="B50" s="1" t="s">
        <v>53</v>
      </c>
      <c r="C50" s="1">
        <f>INDEX(fields[column],MATCH(games[[#This Row],[field]],fields[field],0))</f>
        <v>4</v>
      </c>
      <c r="D50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50" s="40" t="str">
        <f ca="1">IF(LEN(games[[#This Row],[pair]])=3,MID(games[[#This Row],[pair]],2,1),"")</f>
        <v/>
      </c>
      <c r="F50" s="1">
        <f t="array" ref="F50">MATCH(1,(pages!$A$1:$A$957=games[[#This Row],[r]])*(pages!$B$1:$B$957=games[[#This Row],[field]]),0)</f>
        <v>56</v>
      </c>
      <c r="G50" s="1" t="b">
        <f>INDEX(pages!$L$1:$L$957,games[[#This Row],[ind]])</f>
        <v>0</v>
      </c>
      <c r="H50" s="1" t="str">
        <f ca="1">_xlfn.IFNA(IF(LEN(games[[#This Row],[pair]])=3,INDEX(teams[id],MATCH(LEFT(games[[#This Row],[pair]]),teams[char],0)),""),"")</f>
        <v/>
      </c>
      <c r="I50" s="1" t="str">
        <f ca="1">_xlfn.IFNA(IF(LEN(games[[#This Row],[pair]])=3,INDEX(teams[id],MATCH(RIGHT(games[[#This Row],[pair]]),teams[char],0)),""),"")</f>
        <v/>
      </c>
      <c r="J50" s="1" t="str">
        <f>IF(games[[#This Row],[played]],INDEX(pages!$I$1:$I$759,games[[#This Row],[ind]]),"")</f>
        <v/>
      </c>
      <c r="K50" s="1" t="str">
        <f>IF(games[[#This Row],[played]],INDEX(pages!$J$1:$J$759,games[[#This Row],[ind]]),"")</f>
        <v/>
      </c>
      <c r="L50" s="40" t="str">
        <f ca="1">INDEX(fields[char],MATCH(games[[#This Row],[field]],fields[field],0))&amp;IF(games[[#This Row],[tag]]="-","","("&amp;games[[#This Row],[tag]]&amp;")")</f>
        <v>v()</v>
      </c>
    </row>
    <row r="51" spans="1:12" x14ac:dyDescent="0.35">
      <c r="A51" s="1">
        <f t="shared" si="0"/>
        <v>10</v>
      </c>
      <c r="B51" s="1" t="s">
        <v>54</v>
      </c>
      <c r="C51" s="1">
        <f>INDEX(fields[column],MATCH(games[[#This Row],[field]],fields[field],0))</f>
        <v>5</v>
      </c>
      <c r="D51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51" s="40" t="str">
        <f ca="1">IF(LEN(games[[#This Row],[pair]])=3,MID(games[[#This Row],[pair]],2,1),"")</f>
        <v/>
      </c>
      <c r="F51" s="1">
        <f t="array" ref="F51">MATCH(1,(pages!$A$1:$A$957=games[[#This Row],[r]])*(pages!$B$1:$B$957=games[[#This Row],[field]]),0)</f>
        <v>57</v>
      </c>
      <c r="G51" s="1" t="b">
        <f>INDEX(pages!$L$1:$L$957,games[[#This Row],[ind]])</f>
        <v>0</v>
      </c>
      <c r="H51" s="1" t="str">
        <f ca="1">_xlfn.IFNA(IF(LEN(games[[#This Row],[pair]])=3,INDEX(teams[id],MATCH(LEFT(games[[#This Row],[pair]]),teams[char],0)),""),"")</f>
        <v/>
      </c>
      <c r="I51" s="1" t="str">
        <f ca="1">_xlfn.IFNA(IF(LEN(games[[#This Row],[pair]])=3,INDEX(teams[id],MATCH(RIGHT(games[[#This Row],[pair]]),teams[char],0)),""),"")</f>
        <v/>
      </c>
      <c r="J51" s="1" t="str">
        <f>IF(games[[#This Row],[played]],INDEX(pages!$I$1:$I$759,games[[#This Row],[ind]]),"")</f>
        <v/>
      </c>
      <c r="K51" s="1" t="str">
        <f>IF(games[[#This Row],[played]],INDEX(pages!$J$1:$J$759,games[[#This Row],[ind]]),"")</f>
        <v/>
      </c>
      <c r="L51" s="40" t="str">
        <f ca="1">INDEX(fields[char],MATCH(games[[#This Row],[field]],fields[field],0))&amp;IF(games[[#This Row],[tag]]="-","","("&amp;games[[#This Row],[tag]]&amp;")")</f>
        <v>m()</v>
      </c>
    </row>
    <row r="52" spans="1:12" x14ac:dyDescent="0.35">
      <c r="A52" s="1">
        <f t="shared" si="0"/>
        <v>11</v>
      </c>
      <c r="B52" s="1" t="s">
        <v>3</v>
      </c>
      <c r="C52" s="1">
        <f>INDEX(fields[column],MATCH(games[[#This Row],[field]],fields[field],0))</f>
        <v>1</v>
      </c>
      <c r="D52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52" s="40" t="str">
        <f ca="1">IF(LEN(games[[#This Row],[pair]])=3,MID(games[[#This Row],[pair]],2,1),"")</f>
        <v/>
      </c>
      <c r="F52" s="1">
        <f t="array" ref="F52">MATCH(1,(pages!$A$1:$A$957=games[[#This Row],[r]])*(pages!$B$1:$B$957=games[[#This Row],[field]]),0)</f>
        <v>58</v>
      </c>
      <c r="G52" s="1" t="b">
        <f>INDEX(pages!$L$1:$L$957,games[[#This Row],[ind]])</f>
        <v>0</v>
      </c>
      <c r="H52" s="1" t="str">
        <f ca="1">_xlfn.IFNA(IF(LEN(games[[#This Row],[pair]])=3,INDEX(teams[id],MATCH(LEFT(games[[#This Row],[pair]]),teams[char],0)),""),"")</f>
        <v/>
      </c>
      <c r="I52" s="1" t="str">
        <f ca="1">_xlfn.IFNA(IF(LEN(games[[#This Row],[pair]])=3,INDEX(teams[id],MATCH(RIGHT(games[[#This Row],[pair]]),teams[char],0)),""),"")</f>
        <v/>
      </c>
      <c r="J52" s="1" t="str">
        <f>IF(games[[#This Row],[played]],INDEX(pages!$I$1:$I$759,games[[#This Row],[ind]]),"")</f>
        <v/>
      </c>
      <c r="K52" s="1" t="str">
        <f>IF(games[[#This Row],[played]],INDEX(pages!$J$1:$J$759,games[[#This Row],[ind]]),"")</f>
        <v/>
      </c>
      <c r="L52" s="40" t="str">
        <f ca="1">INDEX(fields[char],MATCH(games[[#This Row],[field]],fields[field],0))&amp;IF(games[[#This Row],[tag]]="-","","("&amp;games[[#This Row],[tag]]&amp;")")</f>
        <v>p()</v>
      </c>
    </row>
    <row r="53" spans="1:12" x14ac:dyDescent="0.35">
      <c r="A53" s="1">
        <f t="shared" si="0"/>
        <v>11</v>
      </c>
      <c r="B53" s="1" t="s">
        <v>4</v>
      </c>
      <c r="C53" s="1">
        <f>INDEX(fields[column],MATCH(games[[#This Row],[field]],fields[field],0))</f>
        <v>2</v>
      </c>
      <c r="D53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53" s="40" t="str">
        <f ca="1">IF(LEN(games[[#This Row],[pair]])=3,MID(games[[#This Row],[pair]],2,1),"")</f>
        <v/>
      </c>
      <c r="F53" s="1">
        <f t="array" ref="F53">MATCH(1,(pages!$A$1:$A$957=games[[#This Row],[r]])*(pages!$B$1:$B$957=games[[#This Row],[field]]),0)</f>
        <v>59</v>
      </c>
      <c r="G53" s="1" t="b">
        <f>INDEX(pages!$L$1:$L$957,games[[#This Row],[ind]])</f>
        <v>0</v>
      </c>
      <c r="H53" s="1" t="str">
        <f ca="1">_xlfn.IFNA(IF(LEN(games[[#This Row],[pair]])=3,INDEX(teams[id],MATCH(LEFT(games[[#This Row],[pair]]),teams[char],0)),""),"")</f>
        <v/>
      </c>
      <c r="I53" s="1" t="str">
        <f ca="1">_xlfn.IFNA(IF(LEN(games[[#This Row],[pair]])=3,INDEX(teams[id],MATCH(RIGHT(games[[#This Row],[pair]]),teams[char],0)),""),"")</f>
        <v/>
      </c>
      <c r="J53" s="1" t="str">
        <f>IF(games[[#This Row],[played]],INDEX(pages!$I$1:$I$759,games[[#This Row],[ind]]),"")</f>
        <v/>
      </c>
      <c r="K53" s="1" t="str">
        <f>IF(games[[#This Row],[played]],INDEX(pages!$J$1:$J$759,games[[#This Row],[ind]]),"")</f>
        <v/>
      </c>
      <c r="L53" s="40" t="str">
        <f ca="1">INDEX(fields[char],MATCH(games[[#This Row],[field]],fields[field],0))&amp;IF(games[[#This Row],[tag]]="-","","("&amp;games[[#This Row],[tag]]&amp;")")</f>
        <v>p()</v>
      </c>
    </row>
    <row r="54" spans="1:12" x14ac:dyDescent="0.35">
      <c r="A54" s="1">
        <f t="shared" si="0"/>
        <v>11</v>
      </c>
      <c r="B54" s="1" t="s">
        <v>5</v>
      </c>
      <c r="C54" s="1">
        <f>INDEX(fields[column],MATCH(games[[#This Row],[field]],fields[field],0))</f>
        <v>3</v>
      </c>
      <c r="D54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54" s="40" t="str">
        <f ca="1">IF(LEN(games[[#This Row],[pair]])=3,MID(games[[#This Row],[pair]],2,1),"")</f>
        <v/>
      </c>
      <c r="F54" s="1">
        <f t="array" ref="F54">MATCH(1,(pages!$A$1:$A$957=games[[#This Row],[r]])*(pages!$B$1:$B$957=games[[#This Row],[field]]),0)</f>
        <v>60</v>
      </c>
      <c r="G54" s="1" t="b">
        <f>INDEX(pages!$L$1:$L$957,games[[#This Row],[ind]])</f>
        <v>0</v>
      </c>
      <c r="H54" s="1" t="str">
        <f ca="1">_xlfn.IFNA(IF(LEN(games[[#This Row],[pair]])=3,INDEX(teams[id],MATCH(LEFT(games[[#This Row],[pair]]),teams[char],0)),""),"")</f>
        <v/>
      </c>
      <c r="I54" s="1" t="str">
        <f ca="1">_xlfn.IFNA(IF(LEN(games[[#This Row],[pair]])=3,INDEX(teams[id],MATCH(RIGHT(games[[#This Row],[pair]]),teams[char],0)),""),"")</f>
        <v/>
      </c>
      <c r="J54" s="1" t="str">
        <f>IF(games[[#This Row],[played]],INDEX(pages!$I$1:$I$759,games[[#This Row],[ind]]),"")</f>
        <v/>
      </c>
      <c r="K54" s="1" t="str">
        <f>IF(games[[#This Row],[played]],INDEX(pages!$J$1:$J$759,games[[#This Row],[ind]]),"")</f>
        <v/>
      </c>
      <c r="L54" s="40" t="str">
        <f ca="1">INDEX(fields[char],MATCH(games[[#This Row],[field]],fields[field],0))&amp;IF(games[[#This Row],[tag]]="-","","("&amp;games[[#This Row],[tag]]&amp;")")</f>
        <v>k()</v>
      </c>
    </row>
    <row r="55" spans="1:12" x14ac:dyDescent="0.35">
      <c r="A55" s="1">
        <f t="shared" si="0"/>
        <v>11</v>
      </c>
      <c r="B55" s="1" t="s">
        <v>53</v>
      </c>
      <c r="C55" s="1">
        <f>INDEX(fields[column],MATCH(games[[#This Row],[field]],fields[field],0))</f>
        <v>4</v>
      </c>
      <c r="D55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55" s="40" t="str">
        <f ca="1">IF(LEN(games[[#This Row],[pair]])=3,MID(games[[#This Row],[pair]],2,1),"")</f>
        <v/>
      </c>
      <c r="F55" s="1">
        <f t="array" ref="F55">MATCH(1,(pages!$A$1:$A$957=games[[#This Row],[r]])*(pages!$B$1:$B$957=games[[#This Row],[field]]),0)</f>
        <v>61</v>
      </c>
      <c r="G55" s="1" t="b">
        <f>INDEX(pages!$L$1:$L$957,games[[#This Row],[ind]])</f>
        <v>0</v>
      </c>
      <c r="H55" s="1" t="str">
        <f ca="1">_xlfn.IFNA(IF(LEN(games[[#This Row],[pair]])=3,INDEX(teams[id],MATCH(LEFT(games[[#This Row],[pair]]),teams[char],0)),""),"")</f>
        <v/>
      </c>
      <c r="I55" s="1" t="str">
        <f ca="1">_xlfn.IFNA(IF(LEN(games[[#This Row],[pair]])=3,INDEX(teams[id],MATCH(RIGHT(games[[#This Row],[pair]]),teams[char],0)),""),"")</f>
        <v/>
      </c>
      <c r="J55" s="1" t="str">
        <f>IF(games[[#This Row],[played]],INDEX(pages!$I$1:$I$759,games[[#This Row],[ind]]),"")</f>
        <v/>
      </c>
      <c r="K55" s="1" t="str">
        <f>IF(games[[#This Row],[played]],INDEX(pages!$J$1:$J$759,games[[#This Row],[ind]]),"")</f>
        <v/>
      </c>
      <c r="L55" s="40" t="str">
        <f ca="1">INDEX(fields[char],MATCH(games[[#This Row],[field]],fields[field],0))&amp;IF(games[[#This Row],[tag]]="-","","("&amp;games[[#This Row],[tag]]&amp;")")</f>
        <v>v()</v>
      </c>
    </row>
    <row r="56" spans="1:12" x14ac:dyDescent="0.35">
      <c r="A56" s="1">
        <f t="shared" si="0"/>
        <v>11</v>
      </c>
      <c r="B56" s="1" t="s">
        <v>54</v>
      </c>
      <c r="C56" s="1">
        <f>INDEX(fields[column],MATCH(games[[#This Row],[field]],fields[field],0))</f>
        <v>5</v>
      </c>
      <c r="D56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56" s="40" t="str">
        <f ca="1">IF(LEN(games[[#This Row],[pair]])=3,MID(games[[#This Row],[pair]],2,1),"")</f>
        <v/>
      </c>
      <c r="F56" s="1">
        <f t="array" ref="F56">MATCH(1,(pages!$A$1:$A$957=games[[#This Row],[r]])*(pages!$B$1:$B$957=games[[#This Row],[field]]),0)</f>
        <v>62</v>
      </c>
      <c r="G56" s="1" t="b">
        <f>INDEX(pages!$L$1:$L$957,games[[#This Row],[ind]])</f>
        <v>0</v>
      </c>
      <c r="H56" s="1" t="str">
        <f ca="1">_xlfn.IFNA(IF(LEN(games[[#This Row],[pair]])=3,INDEX(teams[id],MATCH(LEFT(games[[#This Row],[pair]]),teams[char],0)),""),"")</f>
        <v/>
      </c>
      <c r="I56" s="1" t="str">
        <f ca="1">_xlfn.IFNA(IF(LEN(games[[#This Row],[pair]])=3,INDEX(teams[id],MATCH(RIGHT(games[[#This Row],[pair]]),teams[char],0)),""),"")</f>
        <v/>
      </c>
      <c r="J56" s="1" t="str">
        <f>IF(games[[#This Row],[played]],INDEX(pages!$I$1:$I$759,games[[#This Row],[ind]]),"")</f>
        <v/>
      </c>
      <c r="K56" s="1" t="str">
        <f>IF(games[[#This Row],[played]],INDEX(pages!$J$1:$J$759,games[[#This Row],[ind]]),"")</f>
        <v/>
      </c>
      <c r="L56" s="40" t="str">
        <f ca="1">INDEX(fields[char],MATCH(games[[#This Row],[field]],fields[field],0))&amp;IF(games[[#This Row],[tag]]="-","","("&amp;games[[#This Row],[tag]]&amp;")")</f>
        <v>m()</v>
      </c>
    </row>
    <row r="57" spans="1:12" x14ac:dyDescent="0.35">
      <c r="A57" s="1">
        <f t="shared" si="0"/>
        <v>12</v>
      </c>
      <c r="B57" s="1" t="s">
        <v>3</v>
      </c>
      <c r="C57" s="1">
        <f>INDEX(fields[column],MATCH(games[[#This Row],[field]],fields[field],0))</f>
        <v>1</v>
      </c>
      <c r="D57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57" s="40" t="str">
        <f ca="1">IF(LEN(games[[#This Row],[pair]])=3,MID(games[[#This Row],[pair]],2,1),"")</f>
        <v/>
      </c>
      <c r="F57" s="1">
        <f t="array" ref="F57">MATCH(1,(pages!$A$1:$A$957=games[[#This Row],[r]])*(pages!$B$1:$B$957=games[[#This Row],[field]]),0)</f>
        <v>63</v>
      </c>
      <c r="G57" s="1" t="b">
        <f>INDEX(pages!$L$1:$L$957,games[[#This Row],[ind]])</f>
        <v>0</v>
      </c>
      <c r="H57" s="1" t="str">
        <f ca="1">_xlfn.IFNA(IF(LEN(games[[#This Row],[pair]])=3,INDEX(teams[id],MATCH(LEFT(games[[#This Row],[pair]]),teams[char],0)),""),"")</f>
        <v/>
      </c>
      <c r="I57" s="1" t="str">
        <f ca="1">_xlfn.IFNA(IF(LEN(games[[#This Row],[pair]])=3,INDEX(teams[id],MATCH(RIGHT(games[[#This Row],[pair]]),teams[char],0)),""),"")</f>
        <v/>
      </c>
      <c r="J57" s="1" t="str">
        <f>IF(games[[#This Row],[played]],INDEX(pages!$I$1:$I$759,games[[#This Row],[ind]]),"")</f>
        <v/>
      </c>
      <c r="K57" s="1" t="str">
        <f>IF(games[[#This Row],[played]],INDEX(pages!$J$1:$J$759,games[[#This Row],[ind]]),"")</f>
        <v/>
      </c>
      <c r="L57" s="40" t="str">
        <f ca="1">INDEX(fields[char],MATCH(games[[#This Row],[field]],fields[field],0))&amp;IF(games[[#This Row],[tag]]="-","","("&amp;games[[#This Row],[tag]]&amp;")")</f>
        <v>p()</v>
      </c>
    </row>
    <row r="58" spans="1:12" x14ac:dyDescent="0.35">
      <c r="A58" s="1">
        <f t="shared" si="0"/>
        <v>12</v>
      </c>
      <c r="B58" s="1" t="s">
        <v>4</v>
      </c>
      <c r="C58" s="1">
        <f>INDEX(fields[column],MATCH(games[[#This Row],[field]],fields[field],0))</f>
        <v>2</v>
      </c>
      <c r="D58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58" s="40" t="str">
        <f ca="1">IF(LEN(games[[#This Row],[pair]])=3,MID(games[[#This Row],[pair]],2,1),"")</f>
        <v/>
      </c>
      <c r="F58" s="1">
        <f t="array" ref="F58">MATCH(1,(pages!$A$1:$A$957=games[[#This Row],[r]])*(pages!$B$1:$B$957=games[[#This Row],[field]]),0)</f>
        <v>64</v>
      </c>
      <c r="G58" s="1" t="b">
        <f>INDEX(pages!$L$1:$L$957,games[[#This Row],[ind]])</f>
        <v>0</v>
      </c>
      <c r="H58" s="1" t="str">
        <f ca="1">_xlfn.IFNA(IF(LEN(games[[#This Row],[pair]])=3,INDEX(teams[id],MATCH(LEFT(games[[#This Row],[pair]]),teams[char],0)),""),"")</f>
        <v/>
      </c>
      <c r="I58" s="1" t="str">
        <f ca="1">_xlfn.IFNA(IF(LEN(games[[#This Row],[pair]])=3,INDEX(teams[id],MATCH(RIGHT(games[[#This Row],[pair]]),teams[char],0)),""),"")</f>
        <v/>
      </c>
      <c r="J58" s="1" t="str">
        <f>IF(games[[#This Row],[played]],INDEX(pages!$I$1:$I$759,games[[#This Row],[ind]]),"")</f>
        <v/>
      </c>
      <c r="K58" s="1" t="str">
        <f>IF(games[[#This Row],[played]],INDEX(pages!$J$1:$J$759,games[[#This Row],[ind]]),"")</f>
        <v/>
      </c>
      <c r="L58" s="40" t="str">
        <f ca="1">INDEX(fields[char],MATCH(games[[#This Row],[field]],fields[field],0))&amp;IF(games[[#This Row],[tag]]="-","","("&amp;games[[#This Row],[tag]]&amp;")")</f>
        <v>p()</v>
      </c>
    </row>
    <row r="59" spans="1:12" x14ac:dyDescent="0.35">
      <c r="A59" s="1">
        <f t="shared" si="0"/>
        <v>12</v>
      </c>
      <c r="B59" s="1" t="s">
        <v>5</v>
      </c>
      <c r="C59" s="1">
        <f>INDEX(fields[column],MATCH(games[[#This Row],[field]],fields[field],0))</f>
        <v>3</v>
      </c>
      <c r="D59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59" s="40" t="str">
        <f ca="1">IF(LEN(games[[#This Row],[pair]])=3,MID(games[[#This Row],[pair]],2,1),"")</f>
        <v/>
      </c>
      <c r="F59" s="1">
        <f t="array" ref="F59">MATCH(1,(pages!$A$1:$A$957=games[[#This Row],[r]])*(pages!$B$1:$B$957=games[[#This Row],[field]]),0)</f>
        <v>65</v>
      </c>
      <c r="G59" s="1" t="b">
        <f>INDEX(pages!$L$1:$L$957,games[[#This Row],[ind]])</f>
        <v>0</v>
      </c>
      <c r="H59" s="1" t="str">
        <f ca="1">_xlfn.IFNA(IF(LEN(games[[#This Row],[pair]])=3,INDEX(teams[id],MATCH(LEFT(games[[#This Row],[pair]]),teams[char],0)),""),"")</f>
        <v/>
      </c>
      <c r="I59" s="1" t="str">
        <f ca="1">_xlfn.IFNA(IF(LEN(games[[#This Row],[pair]])=3,INDEX(teams[id],MATCH(RIGHT(games[[#This Row],[pair]]),teams[char],0)),""),"")</f>
        <v/>
      </c>
      <c r="J59" s="1" t="str">
        <f>IF(games[[#This Row],[played]],INDEX(pages!$I$1:$I$759,games[[#This Row],[ind]]),"")</f>
        <v/>
      </c>
      <c r="K59" s="1" t="str">
        <f>IF(games[[#This Row],[played]],INDEX(pages!$J$1:$J$759,games[[#This Row],[ind]]),"")</f>
        <v/>
      </c>
      <c r="L59" s="40" t="str">
        <f ca="1">INDEX(fields[char],MATCH(games[[#This Row],[field]],fields[field],0))&amp;IF(games[[#This Row],[tag]]="-","","("&amp;games[[#This Row],[tag]]&amp;")")</f>
        <v>k()</v>
      </c>
    </row>
    <row r="60" spans="1:12" x14ac:dyDescent="0.35">
      <c r="A60" s="1">
        <f t="shared" si="0"/>
        <v>12</v>
      </c>
      <c r="B60" s="1" t="s">
        <v>53</v>
      </c>
      <c r="C60" s="1">
        <f>INDEX(fields[column],MATCH(games[[#This Row],[field]],fields[field],0))</f>
        <v>4</v>
      </c>
      <c r="D60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60" s="40" t="str">
        <f ca="1">IF(LEN(games[[#This Row],[pair]])=3,MID(games[[#This Row],[pair]],2,1),"")</f>
        <v/>
      </c>
      <c r="F60" s="1">
        <f t="array" ref="F60">MATCH(1,(pages!$A$1:$A$957=games[[#This Row],[r]])*(pages!$B$1:$B$957=games[[#This Row],[field]]),0)</f>
        <v>66</v>
      </c>
      <c r="G60" s="1" t="b">
        <f>INDEX(pages!$L$1:$L$957,games[[#This Row],[ind]])</f>
        <v>0</v>
      </c>
      <c r="H60" s="1" t="str">
        <f ca="1">_xlfn.IFNA(IF(LEN(games[[#This Row],[pair]])=3,INDEX(teams[id],MATCH(LEFT(games[[#This Row],[pair]]),teams[char],0)),""),"")</f>
        <v/>
      </c>
      <c r="I60" s="1" t="str">
        <f ca="1">_xlfn.IFNA(IF(LEN(games[[#This Row],[pair]])=3,INDEX(teams[id],MATCH(RIGHT(games[[#This Row],[pair]]),teams[char],0)),""),"")</f>
        <v/>
      </c>
      <c r="J60" s="1" t="str">
        <f>IF(games[[#This Row],[played]],INDEX(pages!$I$1:$I$759,games[[#This Row],[ind]]),"")</f>
        <v/>
      </c>
      <c r="K60" s="1" t="str">
        <f>IF(games[[#This Row],[played]],INDEX(pages!$J$1:$J$759,games[[#This Row],[ind]]),"")</f>
        <v/>
      </c>
      <c r="L60" s="40" t="str">
        <f ca="1">INDEX(fields[char],MATCH(games[[#This Row],[field]],fields[field],0))&amp;IF(games[[#This Row],[tag]]="-","","("&amp;games[[#This Row],[tag]]&amp;")")</f>
        <v>v()</v>
      </c>
    </row>
    <row r="61" spans="1:12" x14ac:dyDescent="0.35">
      <c r="A61" s="1">
        <f t="shared" si="0"/>
        <v>12</v>
      </c>
      <c r="B61" s="1" t="s">
        <v>54</v>
      </c>
      <c r="C61" s="1">
        <f>INDEX(fields[column],MATCH(games[[#This Row],[field]],fields[field],0))</f>
        <v>5</v>
      </c>
      <c r="D61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61" s="40" t="str">
        <f ca="1">IF(LEN(games[[#This Row],[pair]])=3,MID(games[[#This Row],[pair]],2,1),"")</f>
        <v/>
      </c>
      <c r="F61" s="1">
        <f t="array" ref="F61">MATCH(1,(pages!$A$1:$A$957=games[[#This Row],[r]])*(pages!$B$1:$B$957=games[[#This Row],[field]]),0)</f>
        <v>67</v>
      </c>
      <c r="G61" s="1" t="b">
        <f>INDEX(pages!$L$1:$L$957,games[[#This Row],[ind]])</f>
        <v>0</v>
      </c>
      <c r="H61" s="1" t="str">
        <f ca="1">_xlfn.IFNA(IF(LEN(games[[#This Row],[pair]])=3,INDEX(teams[id],MATCH(LEFT(games[[#This Row],[pair]]),teams[char],0)),""),"")</f>
        <v/>
      </c>
      <c r="I61" s="1" t="str">
        <f ca="1">_xlfn.IFNA(IF(LEN(games[[#This Row],[pair]])=3,INDEX(teams[id],MATCH(RIGHT(games[[#This Row],[pair]]),teams[char],0)),""),"")</f>
        <v/>
      </c>
      <c r="J61" s="1" t="str">
        <f>IF(games[[#This Row],[played]],INDEX(pages!$I$1:$I$759,games[[#This Row],[ind]]),"")</f>
        <v/>
      </c>
      <c r="K61" s="1" t="str">
        <f>IF(games[[#This Row],[played]],INDEX(pages!$J$1:$J$759,games[[#This Row],[ind]]),"")</f>
        <v/>
      </c>
      <c r="L61" s="40" t="str">
        <f ca="1">INDEX(fields[char],MATCH(games[[#This Row],[field]],fields[field],0))&amp;IF(games[[#This Row],[tag]]="-","","("&amp;games[[#This Row],[tag]]&amp;")")</f>
        <v>m()</v>
      </c>
    </row>
    <row r="62" spans="1:12" x14ac:dyDescent="0.35">
      <c r="A62" s="1">
        <f t="shared" si="0"/>
        <v>13</v>
      </c>
      <c r="B62" s="1" t="s">
        <v>3</v>
      </c>
      <c r="C62" s="1">
        <f>INDEX(fields[column],MATCH(games[[#This Row],[field]],fields[field],0))</f>
        <v>1</v>
      </c>
      <c r="D62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62" s="40" t="str">
        <f ca="1">IF(LEN(games[[#This Row],[pair]])=3,MID(games[[#This Row],[pair]],2,1),"")</f>
        <v/>
      </c>
      <c r="F62" s="1">
        <f t="array" ref="F62">MATCH(1,(pages!$A$1:$A$957=games[[#This Row],[r]])*(pages!$B$1:$B$957=games[[#This Row],[field]]),0)</f>
        <v>70</v>
      </c>
      <c r="G62" s="1" t="b">
        <f>INDEX(pages!$L$1:$L$957,games[[#This Row],[ind]])</f>
        <v>0</v>
      </c>
      <c r="H62" s="1" t="str">
        <f ca="1">_xlfn.IFNA(IF(LEN(games[[#This Row],[pair]])=3,INDEX(teams[id],MATCH(LEFT(games[[#This Row],[pair]]),teams[char],0)),""),"")</f>
        <v/>
      </c>
      <c r="I62" s="1" t="str">
        <f ca="1">_xlfn.IFNA(IF(LEN(games[[#This Row],[pair]])=3,INDEX(teams[id],MATCH(RIGHT(games[[#This Row],[pair]]),teams[char],0)),""),"")</f>
        <v/>
      </c>
      <c r="J62" s="1" t="str">
        <f>IF(games[[#This Row],[played]],INDEX(pages!$I$1:$I$759,games[[#This Row],[ind]]),"")</f>
        <v/>
      </c>
      <c r="K62" s="1" t="str">
        <f>IF(games[[#This Row],[played]],INDEX(pages!$J$1:$J$759,games[[#This Row],[ind]]),"")</f>
        <v/>
      </c>
      <c r="L62" s="40" t="str">
        <f ca="1">INDEX(fields[char],MATCH(games[[#This Row],[field]],fields[field],0))&amp;IF(games[[#This Row],[tag]]="-","","("&amp;games[[#This Row],[tag]]&amp;")")</f>
        <v>p()</v>
      </c>
    </row>
    <row r="63" spans="1:12" x14ac:dyDescent="0.35">
      <c r="A63" s="1">
        <f t="shared" si="0"/>
        <v>13</v>
      </c>
      <c r="B63" s="1" t="s">
        <v>4</v>
      </c>
      <c r="C63" s="1">
        <f>INDEX(fields[column],MATCH(games[[#This Row],[field]],fields[field],0))</f>
        <v>2</v>
      </c>
      <c r="D63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63" s="40" t="str">
        <f ca="1">IF(LEN(games[[#This Row],[pair]])=3,MID(games[[#This Row],[pair]],2,1),"")</f>
        <v/>
      </c>
      <c r="F63" s="1">
        <f t="array" ref="F63">MATCH(1,(pages!$A$1:$A$957=games[[#This Row],[r]])*(pages!$B$1:$B$957=games[[#This Row],[field]]),0)</f>
        <v>71</v>
      </c>
      <c r="G63" s="1" t="b">
        <f>INDEX(pages!$L$1:$L$957,games[[#This Row],[ind]])</f>
        <v>0</v>
      </c>
      <c r="H63" s="1" t="str">
        <f ca="1">_xlfn.IFNA(IF(LEN(games[[#This Row],[pair]])=3,INDEX(teams[id],MATCH(LEFT(games[[#This Row],[pair]]),teams[char],0)),""),"")</f>
        <v/>
      </c>
      <c r="I63" s="1" t="str">
        <f ca="1">_xlfn.IFNA(IF(LEN(games[[#This Row],[pair]])=3,INDEX(teams[id],MATCH(RIGHT(games[[#This Row],[pair]]),teams[char],0)),""),"")</f>
        <v/>
      </c>
      <c r="J63" s="1" t="str">
        <f>IF(games[[#This Row],[played]],INDEX(pages!$I$1:$I$759,games[[#This Row],[ind]]),"")</f>
        <v/>
      </c>
      <c r="K63" s="1" t="str">
        <f>IF(games[[#This Row],[played]],INDEX(pages!$J$1:$J$759,games[[#This Row],[ind]]),"")</f>
        <v/>
      </c>
      <c r="L63" s="40" t="str">
        <f ca="1">INDEX(fields[char],MATCH(games[[#This Row],[field]],fields[field],0))&amp;IF(games[[#This Row],[tag]]="-","","("&amp;games[[#This Row],[tag]]&amp;")")</f>
        <v>p()</v>
      </c>
    </row>
    <row r="64" spans="1:12" x14ac:dyDescent="0.35">
      <c r="A64" s="1">
        <f t="shared" si="0"/>
        <v>13</v>
      </c>
      <c r="B64" s="1" t="s">
        <v>5</v>
      </c>
      <c r="C64" s="1">
        <f>INDEX(fields[column],MATCH(games[[#This Row],[field]],fields[field],0))</f>
        <v>3</v>
      </c>
      <c r="D64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64" s="40" t="str">
        <f ca="1">IF(LEN(games[[#This Row],[pair]])=3,MID(games[[#This Row],[pair]],2,1),"")</f>
        <v/>
      </c>
      <c r="F64" s="1">
        <f t="array" ref="F64">MATCH(1,(pages!$A$1:$A$957=games[[#This Row],[r]])*(pages!$B$1:$B$957=games[[#This Row],[field]]),0)</f>
        <v>72</v>
      </c>
      <c r="G64" s="1" t="b">
        <f>INDEX(pages!$L$1:$L$957,games[[#This Row],[ind]])</f>
        <v>0</v>
      </c>
      <c r="H64" s="1" t="str">
        <f ca="1">_xlfn.IFNA(IF(LEN(games[[#This Row],[pair]])=3,INDEX(teams[id],MATCH(LEFT(games[[#This Row],[pair]]),teams[char],0)),""),"")</f>
        <v/>
      </c>
      <c r="I64" s="1" t="str">
        <f ca="1">_xlfn.IFNA(IF(LEN(games[[#This Row],[pair]])=3,INDEX(teams[id],MATCH(RIGHT(games[[#This Row],[pair]]),teams[char],0)),""),"")</f>
        <v/>
      </c>
      <c r="J64" s="1" t="str">
        <f>IF(games[[#This Row],[played]],INDEX(pages!$I$1:$I$759,games[[#This Row],[ind]]),"")</f>
        <v/>
      </c>
      <c r="K64" s="1" t="str">
        <f>IF(games[[#This Row],[played]],INDEX(pages!$J$1:$J$759,games[[#This Row],[ind]]),"")</f>
        <v/>
      </c>
      <c r="L64" s="40" t="str">
        <f ca="1">INDEX(fields[char],MATCH(games[[#This Row],[field]],fields[field],0))&amp;IF(games[[#This Row],[tag]]="-","","("&amp;games[[#This Row],[tag]]&amp;")")</f>
        <v>k()</v>
      </c>
    </row>
    <row r="65" spans="1:12" x14ac:dyDescent="0.35">
      <c r="A65" s="1">
        <f t="shared" si="0"/>
        <v>13</v>
      </c>
      <c r="B65" s="1" t="s">
        <v>53</v>
      </c>
      <c r="C65" s="1">
        <f>INDEX(fields[column],MATCH(games[[#This Row],[field]],fields[field],0))</f>
        <v>4</v>
      </c>
      <c r="D65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65" s="40" t="str">
        <f ca="1">IF(LEN(games[[#This Row],[pair]])=3,MID(games[[#This Row],[pair]],2,1),"")</f>
        <v/>
      </c>
      <c r="F65" s="1">
        <f t="array" ref="F65">MATCH(1,(pages!$A$1:$A$957=games[[#This Row],[r]])*(pages!$B$1:$B$957=games[[#This Row],[field]]),0)</f>
        <v>73</v>
      </c>
      <c r="G65" s="1" t="b">
        <f>INDEX(pages!$L$1:$L$957,games[[#This Row],[ind]])</f>
        <v>0</v>
      </c>
      <c r="H65" s="1" t="str">
        <f ca="1">_xlfn.IFNA(IF(LEN(games[[#This Row],[pair]])=3,INDEX(teams[id],MATCH(LEFT(games[[#This Row],[pair]]),teams[char],0)),""),"")</f>
        <v/>
      </c>
      <c r="I65" s="1" t="str">
        <f ca="1">_xlfn.IFNA(IF(LEN(games[[#This Row],[pair]])=3,INDEX(teams[id],MATCH(RIGHT(games[[#This Row],[pair]]),teams[char],0)),""),"")</f>
        <v/>
      </c>
      <c r="J65" s="1" t="str">
        <f>IF(games[[#This Row],[played]],INDEX(pages!$I$1:$I$759,games[[#This Row],[ind]]),"")</f>
        <v/>
      </c>
      <c r="K65" s="1" t="str">
        <f>IF(games[[#This Row],[played]],INDEX(pages!$J$1:$J$759,games[[#This Row],[ind]]),"")</f>
        <v/>
      </c>
      <c r="L65" s="40" t="str">
        <f ca="1">INDEX(fields[char],MATCH(games[[#This Row],[field]],fields[field],0))&amp;IF(games[[#This Row],[tag]]="-","","("&amp;games[[#This Row],[tag]]&amp;")")</f>
        <v>v()</v>
      </c>
    </row>
    <row r="66" spans="1:12" x14ac:dyDescent="0.35">
      <c r="A66" s="1">
        <f t="shared" si="0"/>
        <v>13</v>
      </c>
      <c r="B66" s="1" t="s">
        <v>54</v>
      </c>
      <c r="C66" s="1">
        <f>INDEX(fields[column],MATCH(games[[#This Row],[field]],fields[field],0))</f>
        <v>5</v>
      </c>
      <c r="D66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66" s="40" t="str">
        <f ca="1">IF(LEN(games[[#This Row],[pair]])=3,MID(games[[#This Row],[pair]],2,1),"")</f>
        <v/>
      </c>
      <c r="F66" s="1">
        <f t="array" ref="F66">MATCH(1,(pages!$A$1:$A$957=games[[#This Row],[r]])*(pages!$B$1:$B$957=games[[#This Row],[field]]),0)</f>
        <v>74</v>
      </c>
      <c r="G66" s="1" t="b">
        <f>INDEX(pages!$L$1:$L$957,games[[#This Row],[ind]])</f>
        <v>0</v>
      </c>
      <c r="H66" s="1" t="str">
        <f ca="1">_xlfn.IFNA(IF(LEN(games[[#This Row],[pair]])=3,INDEX(teams[id],MATCH(LEFT(games[[#This Row],[pair]]),teams[char],0)),""),"")</f>
        <v/>
      </c>
      <c r="I66" s="1" t="str">
        <f ca="1">_xlfn.IFNA(IF(LEN(games[[#This Row],[pair]])=3,INDEX(teams[id],MATCH(RIGHT(games[[#This Row],[pair]]),teams[char],0)),""),"")</f>
        <v/>
      </c>
      <c r="J66" s="1" t="str">
        <f>IF(games[[#This Row],[played]],INDEX(pages!$I$1:$I$759,games[[#This Row],[ind]]),"")</f>
        <v/>
      </c>
      <c r="K66" s="1" t="str">
        <f>IF(games[[#This Row],[played]],INDEX(pages!$J$1:$J$759,games[[#This Row],[ind]]),"")</f>
        <v/>
      </c>
      <c r="L66" s="40" t="str">
        <f ca="1">INDEX(fields[char],MATCH(games[[#This Row],[field]],fields[field],0))&amp;IF(games[[#This Row],[tag]]="-","","("&amp;games[[#This Row],[tag]]&amp;")")</f>
        <v>m()</v>
      </c>
    </row>
    <row r="67" spans="1:12" x14ac:dyDescent="0.35">
      <c r="A67" s="1">
        <f t="shared" si="0"/>
        <v>14</v>
      </c>
      <c r="B67" s="1" t="s">
        <v>3</v>
      </c>
      <c r="C67" s="1">
        <f>INDEX(fields[column],MATCH(games[[#This Row],[field]],fields[field],0))</f>
        <v>1</v>
      </c>
      <c r="D67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67" s="40" t="str">
        <f ca="1">IF(LEN(games[[#This Row],[pair]])=3,MID(games[[#This Row],[pair]],2,1),"")</f>
        <v/>
      </c>
      <c r="F67" s="1">
        <f t="array" ref="F67">MATCH(1,(pages!$A$1:$A$957=games[[#This Row],[r]])*(pages!$B$1:$B$957=games[[#This Row],[field]]),0)</f>
        <v>75</v>
      </c>
      <c r="G67" s="1" t="b">
        <f>INDEX(pages!$L$1:$L$957,games[[#This Row],[ind]])</f>
        <v>0</v>
      </c>
      <c r="H67" s="1" t="str">
        <f ca="1">_xlfn.IFNA(IF(LEN(games[[#This Row],[pair]])=3,INDEX(teams[id],MATCH(LEFT(games[[#This Row],[pair]]),teams[char],0)),""),"")</f>
        <v/>
      </c>
      <c r="I67" s="1" t="str">
        <f ca="1">_xlfn.IFNA(IF(LEN(games[[#This Row],[pair]])=3,INDEX(teams[id],MATCH(RIGHT(games[[#This Row],[pair]]),teams[char],0)),""),"")</f>
        <v/>
      </c>
      <c r="J67" s="1" t="str">
        <f>IF(games[[#This Row],[played]],INDEX(pages!$I$1:$I$759,games[[#This Row],[ind]]),"")</f>
        <v/>
      </c>
      <c r="K67" s="1" t="str">
        <f>IF(games[[#This Row],[played]],INDEX(pages!$J$1:$J$759,games[[#This Row],[ind]]),"")</f>
        <v/>
      </c>
      <c r="L67" s="40" t="str">
        <f ca="1">INDEX(fields[char],MATCH(games[[#This Row],[field]],fields[field],0))&amp;IF(games[[#This Row],[tag]]="-","","("&amp;games[[#This Row],[tag]]&amp;")")</f>
        <v>p()</v>
      </c>
    </row>
    <row r="68" spans="1:12" x14ac:dyDescent="0.35">
      <c r="A68" s="1">
        <f t="shared" si="0"/>
        <v>14</v>
      </c>
      <c r="B68" s="1" t="s">
        <v>4</v>
      </c>
      <c r="C68" s="1">
        <f>INDEX(fields[column],MATCH(games[[#This Row],[field]],fields[field],0))</f>
        <v>2</v>
      </c>
      <c r="D68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68" s="40" t="str">
        <f ca="1">IF(LEN(games[[#This Row],[pair]])=3,MID(games[[#This Row],[pair]],2,1),"")</f>
        <v/>
      </c>
      <c r="F68" s="1">
        <f t="array" ref="F68">MATCH(1,(pages!$A$1:$A$957=games[[#This Row],[r]])*(pages!$B$1:$B$957=games[[#This Row],[field]]),0)</f>
        <v>76</v>
      </c>
      <c r="G68" s="1" t="b">
        <f>INDEX(pages!$L$1:$L$957,games[[#This Row],[ind]])</f>
        <v>0</v>
      </c>
      <c r="H68" s="1" t="str">
        <f ca="1">_xlfn.IFNA(IF(LEN(games[[#This Row],[pair]])=3,INDEX(teams[id],MATCH(LEFT(games[[#This Row],[pair]]),teams[char],0)),""),"")</f>
        <v/>
      </c>
      <c r="I68" s="1" t="str">
        <f ca="1">_xlfn.IFNA(IF(LEN(games[[#This Row],[pair]])=3,INDEX(teams[id],MATCH(RIGHT(games[[#This Row],[pair]]),teams[char],0)),""),"")</f>
        <v/>
      </c>
      <c r="J68" s="1" t="str">
        <f>IF(games[[#This Row],[played]],INDEX(pages!$I$1:$I$759,games[[#This Row],[ind]]),"")</f>
        <v/>
      </c>
      <c r="K68" s="1" t="str">
        <f>IF(games[[#This Row],[played]],INDEX(pages!$J$1:$J$759,games[[#This Row],[ind]]),"")</f>
        <v/>
      </c>
      <c r="L68" s="40" t="str">
        <f ca="1">INDEX(fields[char],MATCH(games[[#This Row],[field]],fields[field],0))&amp;IF(games[[#This Row],[tag]]="-","","("&amp;games[[#This Row],[tag]]&amp;")")</f>
        <v>p()</v>
      </c>
    </row>
    <row r="69" spans="1:12" x14ac:dyDescent="0.35">
      <c r="A69" s="1">
        <f t="shared" si="0"/>
        <v>14</v>
      </c>
      <c r="B69" s="1" t="s">
        <v>5</v>
      </c>
      <c r="C69" s="1">
        <f>INDEX(fields[column],MATCH(games[[#This Row],[field]],fields[field],0))</f>
        <v>3</v>
      </c>
      <c r="D69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69" s="40" t="str">
        <f ca="1">IF(LEN(games[[#This Row],[pair]])=3,MID(games[[#This Row],[pair]],2,1),"")</f>
        <v/>
      </c>
      <c r="F69" s="1">
        <f t="array" ref="F69">MATCH(1,(pages!$A$1:$A$957=games[[#This Row],[r]])*(pages!$B$1:$B$957=games[[#This Row],[field]]),0)</f>
        <v>77</v>
      </c>
      <c r="G69" s="1" t="b">
        <f>INDEX(pages!$L$1:$L$957,games[[#This Row],[ind]])</f>
        <v>0</v>
      </c>
      <c r="H69" s="1" t="str">
        <f ca="1">_xlfn.IFNA(IF(LEN(games[[#This Row],[pair]])=3,INDEX(teams[id],MATCH(LEFT(games[[#This Row],[pair]]),teams[char],0)),""),"")</f>
        <v/>
      </c>
      <c r="I69" s="1" t="str">
        <f ca="1">_xlfn.IFNA(IF(LEN(games[[#This Row],[pair]])=3,INDEX(teams[id],MATCH(RIGHT(games[[#This Row],[pair]]),teams[char],0)),""),"")</f>
        <v/>
      </c>
      <c r="J69" s="1" t="str">
        <f>IF(games[[#This Row],[played]],INDEX(pages!$I$1:$I$759,games[[#This Row],[ind]]),"")</f>
        <v/>
      </c>
      <c r="K69" s="1" t="str">
        <f>IF(games[[#This Row],[played]],INDEX(pages!$J$1:$J$759,games[[#This Row],[ind]]),"")</f>
        <v/>
      </c>
      <c r="L69" s="40" t="str">
        <f ca="1">INDEX(fields[char],MATCH(games[[#This Row],[field]],fields[field],0))&amp;IF(games[[#This Row],[tag]]="-","","("&amp;games[[#This Row],[tag]]&amp;")")</f>
        <v>k()</v>
      </c>
    </row>
    <row r="70" spans="1:12" x14ac:dyDescent="0.35">
      <c r="A70" s="1">
        <f t="shared" si="0"/>
        <v>14</v>
      </c>
      <c r="B70" s="1" t="s">
        <v>53</v>
      </c>
      <c r="C70" s="1">
        <f>INDEX(fields[column],MATCH(games[[#This Row],[field]],fields[field],0))</f>
        <v>4</v>
      </c>
      <c r="D70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70" s="40" t="str">
        <f ca="1">IF(LEN(games[[#This Row],[pair]])=3,MID(games[[#This Row],[pair]],2,1),"")</f>
        <v/>
      </c>
      <c r="F70" s="1">
        <f t="array" ref="F70">MATCH(1,(pages!$A$1:$A$957=games[[#This Row],[r]])*(pages!$B$1:$B$957=games[[#This Row],[field]]),0)</f>
        <v>78</v>
      </c>
      <c r="G70" s="1" t="b">
        <f>INDEX(pages!$L$1:$L$957,games[[#This Row],[ind]])</f>
        <v>0</v>
      </c>
      <c r="H70" s="1" t="str">
        <f ca="1">_xlfn.IFNA(IF(LEN(games[[#This Row],[pair]])=3,INDEX(teams[id],MATCH(LEFT(games[[#This Row],[pair]]),teams[char],0)),""),"")</f>
        <v/>
      </c>
      <c r="I70" s="1" t="str">
        <f ca="1">_xlfn.IFNA(IF(LEN(games[[#This Row],[pair]])=3,INDEX(teams[id],MATCH(RIGHT(games[[#This Row],[pair]]),teams[char],0)),""),"")</f>
        <v/>
      </c>
      <c r="J70" s="1" t="str">
        <f>IF(games[[#This Row],[played]],INDEX(pages!$I$1:$I$759,games[[#This Row],[ind]]),"")</f>
        <v/>
      </c>
      <c r="K70" s="1" t="str">
        <f>IF(games[[#This Row],[played]],INDEX(pages!$J$1:$J$759,games[[#This Row],[ind]]),"")</f>
        <v/>
      </c>
      <c r="L70" s="40" t="str">
        <f ca="1">INDEX(fields[char],MATCH(games[[#This Row],[field]],fields[field],0))&amp;IF(games[[#This Row],[tag]]="-","","("&amp;games[[#This Row],[tag]]&amp;")")</f>
        <v>v()</v>
      </c>
    </row>
    <row r="71" spans="1:12" x14ac:dyDescent="0.35">
      <c r="A71" s="1">
        <f t="shared" si="0"/>
        <v>14</v>
      </c>
      <c r="B71" s="1" t="s">
        <v>54</v>
      </c>
      <c r="C71" s="1">
        <f>INDEX(fields[column],MATCH(games[[#This Row],[field]],fields[field],0))</f>
        <v>5</v>
      </c>
      <c r="D71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71" s="40" t="str">
        <f ca="1">IF(LEN(games[[#This Row],[pair]])=3,MID(games[[#This Row],[pair]],2,1),"")</f>
        <v/>
      </c>
      <c r="F71" s="1">
        <f t="array" ref="F71">MATCH(1,(pages!$A$1:$A$957=games[[#This Row],[r]])*(pages!$B$1:$B$957=games[[#This Row],[field]]),0)</f>
        <v>79</v>
      </c>
      <c r="G71" s="1" t="b">
        <f>INDEX(pages!$L$1:$L$957,games[[#This Row],[ind]])</f>
        <v>0</v>
      </c>
      <c r="H71" s="1" t="str">
        <f ca="1">_xlfn.IFNA(IF(LEN(games[[#This Row],[pair]])=3,INDEX(teams[id],MATCH(LEFT(games[[#This Row],[pair]]),teams[char],0)),""),"")</f>
        <v/>
      </c>
      <c r="I71" s="1" t="str">
        <f ca="1">_xlfn.IFNA(IF(LEN(games[[#This Row],[pair]])=3,INDEX(teams[id],MATCH(RIGHT(games[[#This Row],[pair]]),teams[char],0)),""),"")</f>
        <v/>
      </c>
      <c r="J71" s="1" t="str">
        <f>IF(games[[#This Row],[played]],INDEX(pages!$I$1:$I$759,games[[#This Row],[ind]]),"")</f>
        <v/>
      </c>
      <c r="K71" s="1" t="str">
        <f>IF(games[[#This Row],[played]],INDEX(pages!$J$1:$J$759,games[[#This Row],[ind]]),"")</f>
        <v/>
      </c>
      <c r="L71" s="40" t="str">
        <f ca="1">INDEX(fields[char],MATCH(games[[#This Row],[field]],fields[field],0))&amp;IF(games[[#This Row],[tag]]="-","","("&amp;games[[#This Row],[tag]]&amp;")")</f>
        <v>m()</v>
      </c>
    </row>
    <row r="72" spans="1:12" x14ac:dyDescent="0.35">
      <c r="A72" s="1">
        <f t="shared" ref="A72:A135" si="1">A67+1</f>
        <v>15</v>
      </c>
      <c r="B72" s="1" t="s">
        <v>3</v>
      </c>
      <c r="C72" s="1">
        <f>INDEX(fields[column],MATCH(games[[#This Row],[field]],fields[field],0))</f>
        <v>1</v>
      </c>
      <c r="D72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72" s="40" t="str">
        <f ca="1">IF(LEN(games[[#This Row],[pair]])=3,MID(games[[#This Row],[pair]],2,1),"")</f>
        <v/>
      </c>
      <c r="F72" s="1">
        <f t="array" ref="F72">MATCH(1,(pages!$A$1:$A$957=games[[#This Row],[r]])*(pages!$B$1:$B$957=games[[#This Row],[field]]),0)</f>
        <v>80</v>
      </c>
      <c r="G72" s="1" t="b">
        <f>INDEX(pages!$L$1:$L$957,games[[#This Row],[ind]])</f>
        <v>0</v>
      </c>
      <c r="H72" s="1" t="str">
        <f ca="1">_xlfn.IFNA(IF(LEN(games[[#This Row],[pair]])=3,INDEX(teams[id],MATCH(LEFT(games[[#This Row],[pair]]),teams[char],0)),""),"")</f>
        <v/>
      </c>
      <c r="I72" s="1" t="str">
        <f ca="1">_xlfn.IFNA(IF(LEN(games[[#This Row],[pair]])=3,INDEX(teams[id],MATCH(RIGHT(games[[#This Row],[pair]]),teams[char],0)),""),"")</f>
        <v/>
      </c>
      <c r="J72" s="1" t="str">
        <f>IF(games[[#This Row],[played]],INDEX(pages!$I$1:$I$759,games[[#This Row],[ind]]),"")</f>
        <v/>
      </c>
      <c r="K72" s="1" t="str">
        <f>IF(games[[#This Row],[played]],INDEX(pages!$J$1:$J$759,games[[#This Row],[ind]]),"")</f>
        <v/>
      </c>
      <c r="L72" s="40" t="str">
        <f ca="1">INDEX(fields[char],MATCH(games[[#This Row],[field]],fields[field],0))&amp;IF(games[[#This Row],[tag]]="-","","("&amp;games[[#This Row],[tag]]&amp;")")</f>
        <v>p()</v>
      </c>
    </row>
    <row r="73" spans="1:12" x14ac:dyDescent="0.35">
      <c r="A73" s="1">
        <f t="shared" si="1"/>
        <v>15</v>
      </c>
      <c r="B73" s="1" t="s">
        <v>4</v>
      </c>
      <c r="C73" s="1">
        <f>INDEX(fields[column],MATCH(games[[#This Row],[field]],fields[field],0))</f>
        <v>2</v>
      </c>
      <c r="D73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73" s="40" t="str">
        <f ca="1">IF(LEN(games[[#This Row],[pair]])=3,MID(games[[#This Row],[pair]],2,1),"")</f>
        <v/>
      </c>
      <c r="F73" s="1">
        <f t="array" ref="F73">MATCH(1,(pages!$A$1:$A$957=games[[#This Row],[r]])*(pages!$B$1:$B$957=games[[#This Row],[field]]),0)</f>
        <v>81</v>
      </c>
      <c r="G73" s="1" t="b">
        <f>INDEX(pages!$L$1:$L$957,games[[#This Row],[ind]])</f>
        <v>0</v>
      </c>
      <c r="H73" s="1" t="str">
        <f ca="1">_xlfn.IFNA(IF(LEN(games[[#This Row],[pair]])=3,INDEX(teams[id],MATCH(LEFT(games[[#This Row],[pair]]),teams[char],0)),""),"")</f>
        <v/>
      </c>
      <c r="I73" s="1" t="str">
        <f ca="1">_xlfn.IFNA(IF(LEN(games[[#This Row],[pair]])=3,INDEX(teams[id],MATCH(RIGHT(games[[#This Row],[pair]]),teams[char],0)),""),"")</f>
        <v/>
      </c>
      <c r="J73" s="1" t="str">
        <f>IF(games[[#This Row],[played]],INDEX(pages!$I$1:$I$759,games[[#This Row],[ind]]),"")</f>
        <v/>
      </c>
      <c r="K73" s="1" t="str">
        <f>IF(games[[#This Row],[played]],INDEX(pages!$J$1:$J$759,games[[#This Row],[ind]]),"")</f>
        <v/>
      </c>
      <c r="L73" s="40" t="str">
        <f ca="1">INDEX(fields[char],MATCH(games[[#This Row],[field]],fields[field],0))&amp;IF(games[[#This Row],[tag]]="-","","("&amp;games[[#This Row],[tag]]&amp;")")</f>
        <v>p()</v>
      </c>
    </row>
    <row r="74" spans="1:12" x14ac:dyDescent="0.35">
      <c r="A74" s="1">
        <f t="shared" si="1"/>
        <v>15</v>
      </c>
      <c r="B74" s="1" t="s">
        <v>5</v>
      </c>
      <c r="C74" s="1">
        <f>INDEX(fields[column],MATCH(games[[#This Row],[field]],fields[field],0))</f>
        <v>3</v>
      </c>
      <c r="D74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74" s="40" t="str">
        <f ca="1">IF(LEN(games[[#This Row],[pair]])=3,MID(games[[#This Row],[pair]],2,1),"")</f>
        <v/>
      </c>
      <c r="F74" s="1">
        <f t="array" ref="F74">MATCH(1,(pages!$A$1:$A$957=games[[#This Row],[r]])*(pages!$B$1:$B$957=games[[#This Row],[field]]),0)</f>
        <v>82</v>
      </c>
      <c r="G74" s="1" t="b">
        <f>INDEX(pages!$L$1:$L$957,games[[#This Row],[ind]])</f>
        <v>0</v>
      </c>
      <c r="H74" s="1" t="str">
        <f ca="1">_xlfn.IFNA(IF(LEN(games[[#This Row],[pair]])=3,INDEX(teams[id],MATCH(LEFT(games[[#This Row],[pair]]),teams[char],0)),""),"")</f>
        <v/>
      </c>
      <c r="I74" s="1" t="str">
        <f ca="1">_xlfn.IFNA(IF(LEN(games[[#This Row],[pair]])=3,INDEX(teams[id],MATCH(RIGHT(games[[#This Row],[pair]]),teams[char],0)),""),"")</f>
        <v/>
      </c>
      <c r="J74" s="1" t="str">
        <f>IF(games[[#This Row],[played]],INDEX(pages!$I$1:$I$759,games[[#This Row],[ind]]),"")</f>
        <v/>
      </c>
      <c r="K74" s="1" t="str">
        <f>IF(games[[#This Row],[played]],INDEX(pages!$J$1:$J$759,games[[#This Row],[ind]]),"")</f>
        <v/>
      </c>
      <c r="L74" s="40" t="str">
        <f ca="1">INDEX(fields[char],MATCH(games[[#This Row],[field]],fields[field],0))&amp;IF(games[[#This Row],[tag]]="-","","("&amp;games[[#This Row],[tag]]&amp;")")</f>
        <v>k()</v>
      </c>
    </row>
    <row r="75" spans="1:12" x14ac:dyDescent="0.35">
      <c r="A75" s="1">
        <f t="shared" si="1"/>
        <v>15</v>
      </c>
      <c r="B75" s="1" t="s">
        <v>53</v>
      </c>
      <c r="C75" s="1">
        <f>INDEX(fields[column],MATCH(games[[#This Row],[field]],fields[field],0))</f>
        <v>4</v>
      </c>
      <c r="D75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75" s="40" t="str">
        <f ca="1">IF(LEN(games[[#This Row],[pair]])=3,MID(games[[#This Row],[pair]],2,1),"")</f>
        <v/>
      </c>
      <c r="F75" s="1">
        <f t="array" ref="F75">MATCH(1,(pages!$A$1:$A$957=games[[#This Row],[r]])*(pages!$B$1:$B$957=games[[#This Row],[field]]),0)</f>
        <v>83</v>
      </c>
      <c r="G75" s="1" t="b">
        <f>INDEX(pages!$L$1:$L$957,games[[#This Row],[ind]])</f>
        <v>0</v>
      </c>
      <c r="H75" s="1" t="str">
        <f ca="1">_xlfn.IFNA(IF(LEN(games[[#This Row],[pair]])=3,INDEX(teams[id],MATCH(LEFT(games[[#This Row],[pair]]),teams[char],0)),""),"")</f>
        <v/>
      </c>
      <c r="I75" s="1" t="str">
        <f ca="1">_xlfn.IFNA(IF(LEN(games[[#This Row],[pair]])=3,INDEX(teams[id],MATCH(RIGHT(games[[#This Row],[pair]]),teams[char],0)),""),"")</f>
        <v/>
      </c>
      <c r="J75" s="1" t="str">
        <f>IF(games[[#This Row],[played]],INDEX(pages!$I$1:$I$759,games[[#This Row],[ind]]),"")</f>
        <v/>
      </c>
      <c r="K75" s="1" t="str">
        <f>IF(games[[#This Row],[played]],INDEX(pages!$J$1:$J$759,games[[#This Row],[ind]]),"")</f>
        <v/>
      </c>
      <c r="L75" s="40" t="str">
        <f ca="1">INDEX(fields[char],MATCH(games[[#This Row],[field]],fields[field],0))&amp;IF(games[[#This Row],[tag]]="-","","("&amp;games[[#This Row],[tag]]&amp;")")</f>
        <v>v()</v>
      </c>
    </row>
    <row r="76" spans="1:12" x14ac:dyDescent="0.35">
      <c r="A76" s="1">
        <f t="shared" si="1"/>
        <v>15</v>
      </c>
      <c r="B76" s="1" t="s">
        <v>54</v>
      </c>
      <c r="C76" s="1">
        <f>INDEX(fields[column],MATCH(games[[#This Row],[field]],fields[field],0))</f>
        <v>5</v>
      </c>
      <c r="D76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76" s="40" t="str">
        <f ca="1">IF(LEN(games[[#This Row],[pair]])=3,MID(games[[#This Row],[pair]],2,1),"")</f>
        <v/>
      </c>
      <c r="F76" s="1">
        <f t="array" ref="F76">MATCH(1,(pages!$A$1:$A$957=games[[#This Row],[r]])*(pages!$B$1:$B$957=games[[#This Row],[field]]),0)</f>
        <v>84</v>
      </c>
      <c r="G76" s="1" t="b">
        <f>INDEX(pages!$L$1:$L$957,games[[#This Row],[ind]])</f>
        <v>0</v>
      </c>
      <c r="H76" s="1" t="str">
        <f ca="1">_xlfn.IFNA(IF(LEN(games[[#This Row],[pair]])=3,INDEX(teams[id],MATCH(LEFT(games[[#This Row],[pair]]),teams[char],0)),""),"")</f>
        <v/>
      </c>
      <c r="I76" s="1" t="str">
        <f ca="1">_xlfn.IFNA(IF(LEN(games[[#This Row],[pair]])=3,INDEX(teams[id],MATCH(RIGHT(games[[#This Row],[pair]]),teams[char],0)),""),"")</f>
        <v/>
      </c>
      <c r="J76" s="1" t="str">
        <f>IF(games[[#This Row],[played]],INDEX(pages!$I$1:$I$759,games[[#This Row],[ind]]),"")</f>
        <v/>
      </c>
      <c r="K76" s="1" t="str">
        <f>IF(games[[#This Row],[played]],INDEX(pages!$J$1:$J$759,games[[#This Row],[ind]]),"")</f>
        <v/>
      </c>
      <c r="L76" s="40" t="str">
        <f ca="1">INDEX(fields[char],MATCH(games[[#This Row],[field]],fields[field],0))&amp;IF(games[[#This Row],[tag]]="-","","("&amp;games[[#This Row],[tag]]&amp;")")</f>
        <v>m()</v>
      </c>
    </row>
    <row r="77" spans="1:12" x14ac:dyDescent="0.35">
      <c r="A77" s="1">
        <f t="shared" si="1"/>
        <v>16</v>
      </c>
      <c r="B77" s="1" t="s">
        <v>3</v>
      </c>
      <c r="C77" s="1">
        <f>INDEX(fields[column],MATCH(games[[#This Row],[field]],fields[field],0))</f>
        <v>1</v>
      </c>
      <c r="D77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77" s="40" t="str">
        <f ca="1">IF(LEN(games[[#This Row],[pair]])=3,MID(games[[#This Row],[pair]],2,1),"")</f>
        <v/>
      </c>
      <c r="F77" s="1">
        <f t="array" ref="F77">MATCH(1,(pages!$A$1:$A$957=games[[#This Row],[r]])*(pages!$B$1:$B$957=games[[#This Row],[field]]),0)</f>
        <v>85</v>
      </c>
      <c r="G77" s="1" t="b">
        <f>INDEX(pages!$L$1:$L$957,games[[#This Row],[ind]])</f>
        <v>0</v>
      </c>
      <c r="H77" s="1" t="str">
        <f ca="1">_xlfn.IFNA(IF(LEN(games[[#This Row],[pair]])=3,INDEX(teams[id],MATCH(LEFT(games[[#This Row],[pair]]),teams[char],0)),""),"")</f>
        <v/>
      </c>
      <c r="I77" s="1" t="str">
        <f ca="1">_xlfn.IFNA(IF(LEN(games[[#This Row],[pair]])=3,INDEX(teams[id],MATCH(RIGHT(games[[#This Row],[pair]]),teams[char],0)),""),"")</f>
        <v/>
      </c>
      <c r="J77" s="1" t="str">
        <f>IF(games[[#This Row],[played]],INDEX(pages!$I$1:$I$759,games[[#This Row],[ind]]),"")</f>
        <v/>
      </c>
      <c r="K77" s="1" t="str">
        <f>IF(games[[#This Row],[played]],INDEX(pages!$J$1:$J$759,games[[#This Row],[ind]]),"")</f>
        <v/>
      </c>
      <c r="L77" s="40" t="str">
        <f ca="1">INDEX(fields[char],MATCH(games[[#This Row],[field]],fields[field],0))&amp;IF(games[[#This Row],[tag]]="-","","("&amp;games[[#This Row],[tag]]&amp;")")</f>
        <v>p()</v>
      </c>
    </row>
    <row r="78" spans="1:12" x14ac:dyDescent="0.35">
      <c r="A78" s="1">
        <f t="shared" si="1"/>
        <v>16</v>
      </c>
      <c r="B78" s="1" t="s">
        <v>4</v>
      </c>
      <c r="C78" s="1">
        <f>INDEX(fields[column],MATCH(games[[#This Row],[field]],fields[field],0))</f>
        <v>2</v>
      </c>
      <c r="D78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78" s="40" t="str">
        <f ca="1">IF(LEN(games[[#This Row],[pair]])=3,MID(games[[#This Row],[pair]],2,1),"")</f>
        <v/>
      </c>
      <c r="F78" s="1">
        <f t="array" ref="F78">MATCH(1,(pages!$A$1:$A$957=games[[#This Row],[r]])*(pages!$B$1:$B$957=games[[#This Row],[field]]),0)</f>
        <v>86</v>
      </c>
      <c r="G78" s="1" t="b">
        <f>INDEX(pages!$L$1:$L$957,games[[#This Row],[ind]])</f>
        <v>0</v>
      </c>
      <c r="H78" s="1" t="str">
        <f ca="1">_xlfn.IFNA(IF(LEN(games[[#This Row],[pair]])=3,INDEX(teams[id],MATCH(LEFT(games[[#This Row],[pair]]),teams[char],0)),""),"")</f>
        <v/>
      </c>
      <c r="I78" s="1" t="str">
        <f ca="1">_xlfn.IFNA(IF(LEN(games[[#This Row],[pair]])=3,INDEX(teams[id],MATCH(RIGHT(games[[#This Row],[pair]]),teams[char],0)),""),"")</f>
        <v/>
      </c>
      <c r="J78" s="1" t="str">
        <f>IF(games[[#This Row],[played]],INDEX(pages!$I$1:$I$759,games[[#This Row],[ind]]),"")</f>
        <v/>
      </c>
      <c r="K78" s="1" t="str">
        <f>IF(games[[#This Row],[played]],INDEX(pages!$J$1:$J$759,games[[#This Row],[ind]]),"")</f>
        <v/>
      </c>
      <c r="L78" s="40" t="str">
        <f ca="1">INDEX(fields[char],MATCH(games[[#This Row],[field]],fields[field],0))&amp;IF(games[[#This Row],[tag]]="-","","("&amp;games[[#This Row],[tag]]&amp;")")</f>
        <v>p()</v>
      </c>
    </row>
    <row r="79" spans="1:12" x14ac:dyDescent="0.35">
      <c r="A79" s="1">
        <f t="shared" si="1"/>
        <v>16</v>
      </c>
      <c r="B79" s="1" t="s">
        <v>5</v>
      </c>
      <c r="C79" s="1">
        <f>INDEX(fields[column],MATCH(games[[#This Row],[field]],fields[field],0))</f>
        <v>3</v>
      </c>
      <c r="D79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79" s="40" t="str">
        <f ca="1">IF(LEN(games[[#This Row],[pair]])=3,MID(games[[#This Row],[pair]],2,1),"")</f>
        <v/>
      </c>
      <c r="F79" s="1">
        <f t="array" ref="F79">MATCH(1,(pages!$A$1:$A$957=games[[#This Row],[r]])*(pages!$B$1:$B$957=games[[#This Row],[field]]),0)</f>
        <v>87</v>
      </c>
      <c r="G79" s="1" t="b">
        <f>INDEX(pages!$L$1:$L$957,games[[#This Row],[ind]])</f>
        <v>0</v>
      </c>
      <c r="H79" s="1" t="str">
        <f ca="1">_xlfn.IFNA(IF(LEN(games[[#This Row],[pair]])=3,INDEX(teams[id],MATCH(LEFT(games[[#This Row],[pair]]),teams[char],0)),""),"")</f>
        <v/>
      </c>
      <c r="I79" s="1" t="str">
        <f ca="1">_xlfn.IFNA(IF(LEN(games[[#This Row],[pair]])=3,INDEX(teams[id],MATCH(RIGHT(games[[#This Row],[pair]]),teams[char],0)),""),"")</f>
        <v/>
      </c>
      <c r="J79" s="1" t="str">
        <f>IF(games[[#This Row],[played]],INDEX(pages!$I$1:$I$759,games[[#This Row],[ind]]),"")</f>
        <v/>
      </c>
      <c r="K79" s="1" t="str">
        <f>IF(games[[#This Row],[played]],INDEX(pages!$J$1:$J$759,games[[#This Row],[ind]]),"")</f>
        <v/>
      </c>
      <c r="L79" s="40" t="str">
        <f ca="1">INDEX(fields[char],MATCH(games[[#This Row],[field]],fields[field],0))&amp;IF(games[[#This Row],[tag]]="-","","("&amp;games[[#This Row],[tag]]&amp;")")</f>
        <v>k()</v>
      </c>
    </row>
    <row r="80" spans="1:12" x14ac:dyDescent="0.35">
      <c r="A80" s="1">
        <f t="shared" si="1"/>
        <v>16</v>
      </c>
      <c r="B80" s="1" t="s">
        <v>53</v>
      </c>
      <c r="C80" s="1">
        <f>INDEX(fields[column],MATCH(games[[#This Row],[field]],fields[field],0))</f>
        <v>4</v>
      </c>
      <c r="D80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80" s="40" t="str">
        <f ca="1">IF(LEN(games[[#This Row],[pair]])=3,MID(games[[#This Row],[pair]],2,1),"")</f>
        <v/>
      </c>
      <c r="F80" s="1">
        <f t="array" ref="F80">MATCH(1,(pages!$A$1:$A$957=games[[#This Row],[r]])*(pages!$B$1:$B$957=games[[#This Row],[field]]),0)</f>
        <v>88</v>
      </c>
      <c r="G80" s="1" t="b">
        <f>INDEX(pages!$L$1:$L$957,games[[#This Row],[ind]])</f>
        <v>0</v>
      </c>
      <c r="H80" s="1" t="str">
        <f ca="1">_xlfn.IFNA(IF(LEN(games[[#This Row],[pair]])=3,INDEX(teams[id],MATCH(LEFT(games[[#This Row],[pair]]),teams[char],0)),""),"")</f>
        <v/>
      </c>
      <c r="I80" s="1" t="str">
        <f ca="1">_xlfn.IFNA(IF(LEN(games[[#This Row],[pair]])=3,INDEX(teams[id],MATCH(RIGHT(games[[#This Row],[pair]]),teams[char],0)),""),"")</f>
        <v/>
      </c>
      <c r="J80" s="1" t="str">
        <f>IF(games[[#This Row],[played]],INDEX(pages!$I$1:$I$759,games[[#This Row],[ind]]),"")</f>
        <v/>
      </c>
      <c r="K80" s="1" t="str">
        <f>IF(games[[#This Row],[played]],INDEX(pages!$J$1:$J$759,games[[#This Row],[ind]]),"")</f>
        <v/>
      </c>
      <c r="L80" s="40" t="str">
        <f ca="1">INDEX(fields[char],MATCH(games[[#This Row],[field]],fields[field],0))&amp;IF(games[[#This Row],[tag]]="-","","("&amp;games[[#This Row],[tag]]&amp;")")</f>
        <v>v()</v>
      </c>
    </row>
    <row r="81" spans="1:12" x14ac:dyDescent="0.35">
      <c r="A81" s="1">
        <f t="shared" si="1"/>
        <v>16</v>
      </c>
      <c r="B81" s="1" t="s">
        <v>54</v>
      </c>
      <c r="C81" s="1">
        <f>INDEX(fields[column],MATCH(games[[#This Row],[field]],fields[field],0))</f>
        <v>5</v>
      </c>
      <c r="D81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81" s="40" t="str">
        <f ca="1">IF(LEN(games[[#This Row],[pair]])=3,MID(games[[#This Row],[pair]],2,1),"")</f>
        <v/>
      </c>
      <c r="F81" s="1">
        <f t="array" ref="F81">MATCH(1,(pages!$A$1:$A$957=games[[#This Row],[r]])*(pages!$B$1:$B$957=games[[#This Row],[field]]),0)</f>
        <v>89</v>
      </c>
      <c r="G81" s="1" t="b">
        <f>INDEX(pages!$L$1:$L$957,games[[#This Row],[ind]])</f>
        <v>0</v>
      </c>
      <c r="H81" s="1" t="str">
        <f ca="1">_xlfn.IFNA(IF(LEN(games[[#This Row],[pair]])=3,INDEX(teams[id],MATCH(LEFT(games[[#This Row],[pair]]),teams[char],0)),""),"")</f>
        <v/>
      </c>
      <c r="I81" s="1" t="str">
        <f ca="1">_xlfn.IFNA(IF(LEN(games[[#This Row],[pair]])=3,INDEX(teams[id],MATCH(RIGHT(games[[#This Row],[pair]]),teams[char],0)),""),"")</f>
        <v/>
      </c>
      <c r="J81" s="1" t="str">
        <f>IF(games[[#This Row],[played]],INDEX(pages!$I$1:$I$759,games[[#This Row],[ind]]),"")</f>
        <v/>
      </c>
      <c r="K81" s="1" t="str">
        <f>IF(games[[#This Row],[played]],INDEX(pages!$J$1:$J$759,games[[#This Row],[ind]]),"")</f>
        <v/>
      </c>
      <c r="L81" s="40" t="str">
        <f ca="1">INDEX(fields[char],MATCH(games[[#This Row],[field]],fields[field],0))&amp;IF(games[[#This Row],[tag]]="-","","("&amp;games[[#This Row],[tag]]&amp;")")</f>
        <v>m()</v>
      </c>
    </row>
    <row r="82" spans="1:12" x14ac:dyDescent="0.35">
      <c r="A82" s="1">
        <f t="shared" si="1"/>
        <v>17</v>
      </c>
      <c r="B82" s="1" t="s">
        <v>3</v>
      </c>
      <c r="C82" s="1">
        <f>INDEX(fields[column],MATCH(games[[#This Row],[field]],fields[field],0))</f>
        <v>1</v>
      </c>
      <c r="D82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82" s="40" t="str">
        <f ca="1">IF(LEN(games[[#This Row],[pair]])=3,MID(games[[#This Row],[pair]],2,1),"")</f>
        <v/>
      </c>
      <c r="F82" s="1">
        <f t="array" ref="F82">MATCH(1,(pages!$A$1:$A$957=games[[#This Row],[r]])*(pages!$B$1:$B$957=games[[#This Row],[field]]),0)</f>
        <v>92</v>
      </c>
      <c r="G82" s="1" t="b">
        <f>INDEX(pages!$L$1:$L$957,games[[#This Row],[ind]])</f>
        <v>0</v>
      </c>
      <c r="H82" s="1" t="str">
        <f ca="1">_xlfn.IFNA(IF(LEN(games[[#This Row],[pair]])=3,INDEX(teams[id],MATCH(LEFT(games[[#This Row],[pair]]),teams[char],0)),""),"")</f>
        <v/>
      </c>
      <c r="I82" s="1" t="str">
        <f ca="1">_xlfn.IFNA(IF(LEN(games[[#This Row],[pair]])=3,INDEX(teams[id],MATCH(RIGHT(games[[#This Row],[pair]]),teams[char],0)),""),"")</f>
        <v/>
      </c>
      <c r="J82" s="1" t="str">
        <f>IF(games[[#This Row],[played]],INDEX(pages!$I$1:$I$759,games[[#This Row],[ind]]),"")</f>
        <v/>
      </c>
      <c r="K82" s="1" t="str">
        <f>IF(games[[#This Row],[played]],INDEX(pages!$J$1:$J$759,games[[#This Row],[ind]]),"")</f>
        <v/>
      </c>
      <c r="L82" s="40" t="str">
        <f ca="1">INDEX(fields[char],MATCH(games[[#This Row],[field]],fields[field],0))&amp;IF(games[[#This Row],[tag]]="-","","("&amp;games[[#This Row],[tag]]&amp;")")</f>
        <v>p()</v>
      </c>
    </row>
    <row r="83" spans="1:12" x14ac:dyDescent="0.35">
      <c r="A83" s="1">
        <f t="shared" si="1"/>
        <v>17</v>
      </c>
      <c r="B83" s="1" t="s">
        <v>4</v>
      </c>
      <c r="C83" s="1">
        <f>INDEX(fields[column],MATCH(games[[#This Row],[field]],fields[field],0))</f>
        <v>2</v>
      </c>
      <c r="D83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83" s="40" t="str">
        <f ca="1">IF(LEN(games[[#This Row],[pair]])=3,MID(games[[#This Row],[pair]],2,1),"")</f>
        <v/>
      </c>
      <c r="F83" s="1">
        <f t="array" ref="F83">MATCH(1,(pages!$A$1:$A$957=games[[#This Row],[r]])*(pages!$B$1:$B$957=games[[#This Row],[field]]),0)</f>
        <v>93</v>
      </c>
      <c r="G83" s="1" t="b">
        <f>INDEX(pages!$L$1:$L$957,games[[#This Row],[ind]])</f>
        <v>0</v>
      </c>
      <c r="H83" s="1" t="str">
        <f ca="1">_xlfn.IFNA(IF(LEN(games[[#This Row],[pair]])=3,INDEX(teams[id],MATCH(LEFT(games[[#This Row],[pair]]),teams[char],0)),""),"")</f>
        <v/>
      </c>
      <c r="I83" s="1" t="str">
        <f ca="1">_xlfn.IFNA(IF(LEN(games[[#This Row],[pair]])=3,INDEX(teams[id],MATCH(RIGHT(games[[#This Row],[pair]]),teams[char],0)),""),"")</f>
        <v/>
      </c>
      <c r="J83" s="1" t="str">
        <f>IF(games[[#This Row],[played]],INDEX(pages!$I$1:$I$759,games[[#This Row],[ind]]),"")</f>
        <v/>
      </c>
      <c r="K83" s="1" t="str">
        <f>IF(games[[#This Row],[played]],INDEX(pages!$J$1:$J$759,games[[#This Row],[ind]]),"")</f>
        <v/>
      </c>
      <c r="L83" s="40" t="str">
        <f ca="1">INDEX(fields[char],MATCH(games[[#This Row],[field]],fields[field],0))&amp;IF(games[[#This Row],[tag]]="-","","("&amp;games[[#This Row],[tag]]&amp;")")</f>
        <v>p()</v>
      </c>
    </row>
    <row r="84" spans="1:12" x14ac:dyDescent="0.35">
      <c r="A84" s="1">
        <f t="shared" si="1"/>
        <v>17</v>
      </c>
      <c r="B84" s="1" t="s">
        <v>5</v>
      </c>
      <c r="C84" s="1">
        <f>INDEX(fields[column],MATCH(games[[#This Row],[field]],fields[field],0))</f>
        <v>3</v>
      </c>
      <c r="D84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84" s="40" t="str">
        <f ca="1">IF(LEN(games[[#This Row],[pair]])=3,MID(games[[#This Row],[pair]],2,1),"")</f>
        <v/>
      </c>
      <c r="F84" s="1">
        <f t="array" ref="F84">MATCH(1,(pages!$A$1:$A$957=games[[#This Row],[r]])*(pages!$B$1:$B$957=games[[#This Row],[field]]),0)</f>
        <v>94</v>
      </c>
      <c r="G84" s="1" t="b">
        <f>INDEX(pages!$L$1:$L$957,games[[#This Row],[ind]])</f>
        <v>0</v>
      </c>
      <c r="H84" s="1" t="str">
        <f ca="1">_xlfn.IFNA(IF(LEN(games[[#This Row],[pair]])=3,INDEX(teams[id],MATCH(LEFT(games[[#This Row],[pair]]),teams[char],0)),""),"")</f>
        <v/>
      </c>
      <c r="I84" s="1" t="str">
        <f ca="1">_xlfn.IFNA(IF(LEN(games[[#This Row],[pair]])=3,INDEX(teams[id],MATCH(RIGHT(games[[#This Row],[pair]]),teams[char],0)),""),"")</f>
        <v/>
      </c>
      <c r="J84" s="1" t="str">
        <f>IF(games[[#This Row],[played]],INDEX(pages!$I$1:$I$759,games[[#This Row],[ind]]),"")</f>
        <v/>
      </c>
      <c r="K84" s="1" t="str">
        <f>IF(games[[#This Row],[played]],INDEX(pages!$J$1:$J$759,games[[#This Row],[ind]]),"")</f>
        <v/>
      </c>
      <c r="L84" s="40" t="str">
        <f ca="1">INDEX(fields[char],MATCH(games[[#This Row],[field]],fields[field],0))&amp;IF(games[[#This Row],[tag]]="-","","("&amp;games[[#This Row],[tag]]&amp;")")</f>
        <v>k()</v>
      </c>
    </row>
    <row r="85" spans="1:12" x14ac:dyDescent="0.35">
      <c r="A85" s="1">
        <f t="shared" si="1"/>
        <v>17</v>
      </c>
      <c r="B85" s="1" t="s">
        <v>53</v>
      </c>
      <c r="C85" s="1">
        <f>INDEX(fields[column],MATCH(games[[#This Row],[field]],fields[field],0))</f>
        <v>4</v>
      </c>
      <c r="D85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85" s="40" t="str">
        <f ca="1">IF(LEN(games[[#This Row],[pair]])=3,MID(games[[#This Row],[pair]],2,1),"")</f>
        <v/>
      </c>
      <c r="F85" s="1">
        <f t="array" ref="F85">MATCH(1,(pages!$A$1:$A$957=games[[#This Row],[r]])*(pages!$B$1:$B$957=games[[#This Row],[field]]),0)</f>
        <v>95</v>
      </c>
      <c r="G85" s="1" t="b">
        <f>INDEX(pages!$L$1:$L$957,games[[#This Row],[ind]])</f>
        <v>0</v>
      </c>
      <c r="H85" s="1" t="str">
        <f ca="1">_xlfn.IFNA(IF(LEN(games[[#This Row],[pair]])=3,INDEX(teams[id],MATCH(LEFT(games[[#This Row],[pair]]),teams[char],0)),""),"")</f>
        <v/>
      </c>
      <c r="I85" s="1" t="str">
        <f ca="1">_xlfn.IFNA(IF(LEN(games[[#This Row],[pair]])=3,INDEX(teams[id],MATCH(RIGHT(games[[#This Row],[pair]]),teams[char],0)),""),"")</f>
        <v/>
      </c>
      <c r="J85" s="1" t="str">
        <f>IF(games[[#This Row],[played]],INDEX(pages!$I$1:$I$759,games[[#This Row],[ind]]),"")</f>
        <v/>
      </c>
      <c r="K85" s="1" t="str">
        <f>IF(games[[#This Row],[played]],INDEX(pages!$J$1:$J$759,games[[#This Row],[ind]]),"")</f>
        <v/>
      </c>
      <c r="L85" s="40" t="str">
        <f ca="1">INDEX(fields[char],MATCH(games[[#This Row],[field]],fields[field],0))&amp;IF(games[[#This Row],[tag]]="-","","("&amp;games[[#This Row],[tag]]&amp;")")</f>
        <v>v()</v>
      </c>
    </row>
    <row r="86" spans="1:12" x14ac:dyDescent="0.35">
      <c r="A86" s="1">
        <f t="shared" si="1"/>
        <v>17</v>
      </c>
      <c r="B86" s="1" t="s">
        <v>54</v>
      </c>
      <c r="C86" s="1">
        <f>INDEX(fields[column],MATCH(games[[#This Row],[field]],fields[field],0))</f>
        <v>5</v>
      </c>
      <c r="D86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86" s="40" t="str">
        <f ca="1">IF(LEN(games[[#This Row],[pair]])=3,MID(games[[#This Row],[pair]],2,1),"")</f>
        <v/>
      </c>
      <c r="F86" s="1">
        <f t="array" ref="F86">MATCH(1,(pages!$A$1:$A$957=games[[#This Row],[r]])*(pages!$B$1:$B$957=games[[#This Row],[field]]),0)</f>
        <v>96</v>
      </c>
      <c r="G86" s="1" t="b">
        <f>INDEX(pages!$L$1:$L$957,games[[#This Row],[ind]])</f>
        <v>0</v>
      </c>
      <c r="H86" s="1" t="str">
        <f ca="1">_xlfn.IFNA(IF(LEN(games[[#This Row],[pair]])=3,INDEX(teams[id],MATCH(LEFT(games[[#This Row],[pair]]),teams[char],0)),""),"")</f>
        <v/>
      </c>
      <c r="I86" s="1" t="str">
        <f ca="1">_xlfn.IFNA(IF(LEN(games[[#This Row],[pair]])=3,INDEX(teams[id],MATCH(RIGHT(games[[#This Row],[pair]]),teams[char],0)),""),"")</f>
        <v/>
      </c>
      <c r="J86" s="1" t="str">
        <f>IF(games[[#This Row],[played]],INDEX(pages!$I$1:$I$759,games[[#This Row],[ind]]),"")</f>
        <v/>
      </c>
      <c r="K86" s="1" t="str">
        <f>IF(games[[#This Row],[played]],INDEX(pages!$J$1:$J$759,games[[#This Row],[ind]]),"")</f>
        <v/>
      </c>
      <c r="L86" s="40" t="str">
        <f ca="1">INDEX(fields[char],MATCH(games[[#This Row],[field]],fields[field],0))&amp;IF(games[[#This Row],[tag]]="-","","("&amp;games[[#This Row],[tag]]&amp;")")</f>
        <v>m()</v>
      </c>
    </row>
    <row r="87" spans="1:12" x14ac:dyDescent="0.35">
      <c r="A87" s="1">
        <f t="shared" si="1"/>
        <v>18</v>
      </c>
      <c r="B87" s="1" t="s">
        <v>3</v>
      </c>
      <c r="C87" s="1">
        <f>INDEX(fields[column],MATCH(games[[#This Row],[field]],fields[field],0))</f>
        <v>1</v>
      </c>
      <c r="D87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87" s="40" t="str">
        <f ca="1">IF(LEN(games[[#This Row],[pair]])=3,MID(games[[#This Row],[pair]],2,1),"")</f>
        <v/>
      </c>
      <c r="F87" s="1">
        <f t="array" ref="F87">MATCH(1,(pages!$A$1:$A$957=games[[#This Row],[r]])*(pages!$B$1:$B$957=games[[#This Row],[field]]),0)</f>
        <v>97</v>
      </c>
      <c r="G87" s="1" t="b">
        <f>INDEX(pages!$L$1:$L$957,games[[#This Row],[ind]])</f>
        <v>0</v>
      </c>
      <c r="H87" s="1" t="str">
        <f ca="1">_xlfn.IFNA(IF(LEN(games[[#This Row],[pair]])=3,INDEX(teams[id],MATCH(LEFT(games[[#This Row],[pair]]),teams[char],0)),""),"")</f>
        <v/>
      </c>
      <c r="I87" s="1" t="str">
        <f ca="1">_xlfn.IFNA(IF(LEN(games[[#This Row],[pair]])=3,INDEX(teams[id],MATCH(RIGHT(games[[#This Row],[pair]]),teams[char],0)),""),"")</f>
        <v/>
      </c>
      <c r="J87" s="1" t="str">
        <f>IF(games[[#This Row],[played]],INDEX(pages!$I$1:$I$759,games[[#This Row],[ind]]),"")</f>
        <v/>
      </c>
      <c r="K87" s="1" t="str">
        <f>IF(games[[#This Row],[played]],INDEX(pages!$J$1:$J$759,games[[#This Row],[ind]]),"")</f>
        <v/>
      </c>
      <c r="L87" s="40" t="str">
        <f ca="1">INDEX(fields[char],MATCH(games[[#This Row],[field]],fields[field],0))&amp;IF(games[[#This Row],[tag]]="-","","("&amp;games[[#This Row],[tag]]&amp;")")</f>
        <v>p()</v>
      </c>
    </row>
    <row r="88" spans="1:12" x14ac:dyDescent="0.35">
      <c r="A88" s="1">
        <f t="shared" si="1"/>
        <v>18</v>
      </c>
      <c r="B88" s="1" t="s">
        <v>4</v>
      </c>
      <c r="C88" s="1">
        <f>INDEX(fields[column],MATCH(games[[#This Row],[field]],fields[field],0))</f>
        <v>2</v>
      </c>
      <c r="D88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88" s="40" t="str">
        <f ca="1">IF(LEN(games[[#This Row],[pair]])=3,MID(games[[#This Row],[pair]],2,1),"")</f>
        <v/>
      </c>
      <c r="F88" s="1">
        <f t="array" ref="F88">MATCH(1,(pages!$A$1:$A$957=games[[#This Row],[r]])*(pages!$B$1:$B$957=games[[#This Row],[field]]),0)</f>
        <v>98</v>
      </c>
      <c r="G88" s="1" t="b">
        <f>INDEX(pages!$L$1:$L$957,games[[#This Row],[ind]])</f>
        <v>0</v>
      </c>
      <c r="H88" s="1" t="str">
        <f ca="1">_xlfn.IFNA(IF(LEN(games[[#This Row],[pair]])=3,INDEX(teams[id],MATCH(LEFT(games[[#This Row],[pair]]),teams[char],0)),""),"")</f>
        <v/>
      </c>
      <c r="I88" s="1" t="str">
        <f ca="1">_xlfn.IFNA(IF(LEN(games[[#This Row],[pair]])=3,INDEX(teams[id],MATCH(RIGHT(games[[#This Row],[pair]]),teams[char],0)),""),"")</f>
        <v/>
      </c>
      <c r="J88" s="1" t="str">
        <f>IF(games[[#This Row],[played]],INDEX(pages!$I$1:$I$759,games[[#This Row],[ind]]),"")</f>
        <v/>
      </c>
      <c r="K88" s="1" t="str">
        <f>IF(games[[#This Row],[played]],INDEX(pages!$J$1:$J$759,games[[#This Row],[ind]]),"")</f>
        <v/>
      </c>
      <c r="L88" s="40" t="str">
        <f ca="1">INDEX(fields[char],MATCH(games[[#This Row],[field]],fields[field],0))&amp;IF(games[[#This Row],[tag]]="-","","("&amp;games[[#This Row],[tag]]&amp;")")</f>
        <v>p()</v>
      </c>
    </row>
    <row r="89" spans="1:12" x14ac:dyDescent="0.35">
      <c r="A89" s="1">
        <f t="shared" si="1"/>
        <v>18</v>
      </c>
      <c r="B89" s="1" t="s">
        <v>5</v>
      </c>
      <c r="C89" s="1">
        <f>INDEX(fields[column],MATCH(games[[#This Row],[field]],fields[field],0))</f>
        <v>3</v>
      </c>
      <c r="D89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89" s="40" t="str">
        <f ca="1">IF(LEN(games[[#This Row],[pair]])=3,MID(games[[#This Row],[pair]],2,1),"")</f>
        <v/>
      </c>
      <c r="F89" s="1">
        <f t="array" ref="F89">MATCH(1,(pages!$A$1:$A$957=games[[#This Row],[r]])*(pages!$B$1:$B$957=games[[#This Row],[field]]),0)</f>
        <v>99</v>
      </c>
      <c r="G89" s="1" t="b">
        <f>INDEX(pages!$L$1:$L$957,games[[#This Row],[ind]])</f>
        <v>0</v>
      </c>
      <c r="H89" s="1" t="str">
        <f ca="1">_xlfn.IFNA(IF(LEN(games[[#This Row],[pair]])=3,INDEX(teams[id],MATCH(LEFT(games[[#This Row],[pair]]),teams[char],0)),""),"")</f>
        <v/>
      </c>
      <c r="I89" s="1" t="str">
        <f ca="1">_xlfn.IFNA(IF(LEN(games[[#This Row],[pair]])=3,INDEX(teams[id],MATCH(RIGHT(games[[#This Row],[pair]]),teams[char],0)),""),"")</f>
        <v/>
      </c>
      <c r="J89" s="1" t="str">
        <f>IF(games[[#This Row],[played]],INDEX(pages!$I$1:$I$759,games[[#This Row],[ind]]),"")</f>
        <v/>
      </c>
      <c r="K89" s="1" t="str">
        <f>IF(games[[#This Row],[played]],INDEX(pages!$J$1:$J$759,games[[#This Row],[ind]]),"")</f>
        <v/>
      </c>
      <c r="L89" s="40" t="str">
        <f ca="1">INDEX(fields[char],MATCH(games[[#This Row],[field]],fields[field],0))&amp;IF(games[[#This Row],[tag]]="-","","("&amp;games[[#This Row],[tag]]&amp;")")</f>
        <v>k()</v>
      </c>
    </row>
    <row r="90" spans="1:12" x14ac:dyDescent="0.35">
      <c r="A90" s="1">
        <f t="shared" si="1"/>
        <v>18</v>
      </c>
      <c r="B90" s="1" t="s">
        <v>53</v>
      </c>
      <c r="C90" s="1">
        <f>INDEX(fields[column],MATCH(games[[#This Row],[field]],fields[field],0))</f>
        <v>4</v>
      </c>
      <c r="D90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90" s="40" t="str">
        <f ca="1">IF(LEN(games[[#This Row],[pair]])=3,MID(games[[#This Row],[pair]],2,1),"")</f>
        <v/>
      </c>
      <c r="F90" s="1">
        <f t="array" ref="F90">MATCH(1,(pages!$A$1:$A$957=games[[#This Row],[r]])*(pages!$B$1:$B$957=games[[#This Row],[field]]),0)</f>
        <v>100</v>
      </c>
      <c r="G90" s="1" t="b">
        <f>INDEX(pages!$L$1:$L$957,games[[#This Row],[ind]])</f>
        <v>0</v>
      </c>
      <c r="H90" s="1" t="str">
        <f ca="1">_xlfn.IFNA(IF(LEN(games[[#This Row],[pair]])=3,INDEX(teams[id],MATCH(LEFT(games[[#This Row],[pair]]),teams[char],0)),""),"")</f>
        <v/>
      </c>
      <c r="I90" s="1" t="str">
        <f ca="1">_xlfn.IFNA(IF(LEN(games[[#This Row],[pair]])=3,INDEX(teams[id],MATCH(RIGHT(games[[#This Row],[pair]]),teams[char],0)),""),"")</f>
        <v/>
      </c>
      <c r="J90" s="1" t="str">
        <f>IF(games[[#This Row],[played]],INDEX(pages!$I$1:$I$759,games[[#This Row],[ind]]),"")</f>
        <v/>
      </c>
      <c r="K90" s="1" t="str">
        <f>IF(games[[#This Row],[played]],INDEX(pages!$J$1:$J$759,games[[#This Row],[ind]]),"")</f>
        <v/>
      </c>
      <c r="L90" s="40" t="str">
        <f ca="1">INDEX(fields[char],MATCH(games[[#This Row],[field]],fields[field],0))&amp;IF(games[[#This Row],[tag]]="-","","("&amp;games[[#This Row],[tag]]&amp;")")</f>
        <v>v()</v>
      </c>
    </row>
    <row r="91" spans="1:12" x14ac:dyDescent="0.35">
      <c r="A91" s="1">
        <f t="shared" si="1"/>
        <v>18</v>
      </c>
      <c r="B91" s="1" t="s">
        <v>54</v>
      </c>
      <c r="C91" s="1">
        <f>INDEX(fields[column],MATCH(games[[#This Row],[field]],fields[field],0))</f>
        <v>5</v>
      </c>
      <c r="D91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91" s="40" t="str">
        <f ca="1">IF(LEN(games[[#This Row],[pair]])=3,MID(games[[#This Row],[pair]],2,1),"")</f>
        <v/>
      </c>
      <c r="F91" s="1">
        <f t="array" ref="F91">MATCH(1,(pages!$A$1:$A$957=games[[#This Row],[r]])*(pages!$B$1:$B$957=games[[#This Row],[field]]),0)</f>
        <v>101</v>
      </c>
      <c r="G91" s="1" t="b">
        <f>INDEX(pages!$L$1:$L$957,games[[#This Row],[ind]])</f>
        <v>0</v>
      </c>
      <c r="H91" s="1" t="str">
        <f ca="1">_xlfn.IFNA(IF(LEN(games[[#This Row],[pair]])=3,INDEX(teams[id],MATCH(LEFT(games[[#This Row],[pair]]),teams[char],0)),""),"")</f>
        <v/>
      </c>
      <c r="I91" s="1" t="str">
        <f ca="1">_xlfn.IFNA(IF(LEN(games[[#This Row],[pair]])=3,INDEX(teams[id],MATCH(RIGHT(games[[#This Row],[pair]]),teams[char],0)),""),"")</f>
        <v/>
      </c>
      <c r="J91" s="1" t="str">
        <f>IF(games[[#This Row],[played]],INDEX(pages!$I$1:$I$759,games[[#This Row],[ind]]),"")</f>
        <v/>
      </c>
      <c r="K91" s="1" t="str">
        <f>IF(games[[#This Row],[played]],INDEX(pages!$J$1:$J$759,games[[#This Row],[ind]]),"")</f>
        <v/>
      </c>
      <c r="L91" s="40" t="str">
        <f ca="1">INDEX(fields[char],MATCH(games[[#This Row],[field]],fields[field],0))&amp;IF(games[[#This Row],[tag]]="-","","("&amp;games[[#This Row],[tag]]&amp;")")</f>
        <v>m()</v>
      </c>
    </row>
    <row r="92" spans="1:12" x14ac:dyDescent="0.35">
      <c r="A92" s="1">
        <f t="shared" si="1"/>
        <v>19</v>
      </c>
      <c r="B92" s="1" t="s">
        <v>3</v>
      </c>
      <c r="C92" s="1">
        <f>INDEX(fields[column],MATCH(games[[#This Row],[field]],fields[field],0))</f>
        <v>1</v>
      </c>
      <c r="D92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92" s="40" t="str">
        <f ca="1">IF(LEN(games[[#This Row],[pair]])=3,MID(games[[#This Row],[pair]],2,1),"")</f>
        <v/>
      </c>
      <c r="F92" s="1">
        <f t="array" ref="F92">MATCH(1,(pages!$A$1:$A$957=games[[#This Row],[r]])*(pages!$B$1:$B$957=games[[#This Row],[field]]),0)</f>
        <v>102</v>
      </c>
      <c r="G92" s="1" t="b">
        <f>INDEX(pages!$L$1:$L$957,games[[#This Row],[ind]])</f>
        <v>0</v>
      </c>
      <c r="H92" s="1" t="str">
        <f ca="1">_xlfn.IFNA(IF(LEN(games[[#This Row],[pair]])=3,INDEX(teams[id],MATCH(LEFT(games[[#This Row],[pair]]),teams[char],0)),""),"")</f>
        <v/>
      </c>
      <c r="I92" s="1" t="str">
        <f ca="1">_xlfn.IFNA(IF(LEN(games[[#This Row],[pair]])=3,INDEX(teams[id],MATCH(RIGHT(games[[#This Row],[pair]]),teams[char],0)),""),"")</f>
        <v/>
      </c>
      <c r="J92" s="1" t="str">
        <f>IF(games[[#This Row],[played]],INDEX(pages!$I$1:$I$759,games[[#This Row],[ind]]),"")</f>
        <v/>
      </c>
      <c r="K92" s="1" t="str">
        <f>IF(games[[#This Row],[played]],INDEX(pages!$J$1:$J$759,games[[#This Row],[ind]]),"")</f>
        <v/>
      </c>
      <c r="L92" s="40" t="str">
        <f ca="1">INDEX(fields[char],MATCH(games[[#This Row],[field]],fields[field],0))&amp;IF(games[[#This Row],[tag]]="-","","("&amp;games[[#This Row],[tag]]&amp;")")</f>
        <v>p()</v>
      </c>
    </row>
    <row r="93" spans="1:12" x14ac:dyDescent="0.35">
      <c r="A93" s="1">
        <f t="shared" si="1"/>
        <v>19</v>
      </c>
      <c r="B93" s="1" t="s">
        <v>4</v>
      </c>
      <c r="C93" s="1">
        <f>INDEX(fields[column],MATCH(games[[#This Row],[field]],fields[field],0))</f>
        <v>2</v>
      </c>
      <c r="D93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93" s="40" t="str">
        <f ca="1">IF(LEN(games[[#This Row],[pair]])=3,MID(games[[#This Row],[pair]],2,1),"")</f>
        <v/>
      </c>
      <c r="F93" s="1">
        <f t="array" ref="F93">MATCH(1,(pages!$A$1:$A$957=games[[#This Row],[r]])*(pages!$B$1:$B$957=games[[#This Row],[field]]),0)</f>
        <v>103</v>
      </c>
      <c r="G93" s="1" t="b">
        <f>INDEX(pages!$L$1:$L$957,games[[#This Row],[ind]])</f>
        <v>0</v>
      </c>
      <c r="H93" s="1" t="str">
        <f ca="1">_xlfn.IFNA(IF(LEN(games[[#This Row],[pair]])=3,INDEX(teams[id],MATCH(LEFT(games[[#This Row],[pair]]),teams[char],0)),""),"")</f>
        <v/>
      </c>
      <c r="I93" s="1" t="str">
        <f ca="1">_xlfn.IFNA(IF(LEN(games[[#This Row],[pair]])=3,INDEX(teams[id],MATCH(RIGHT(games[[#This Row],[pair]]),teams[char],0)),""),"")</f>
        <v/>
      </c>
      <c r="J93" s="1" t="str">
        <f>IF(games[[#This Row],[played]],INDEX(pages!$I$1:$I$759,games[[#This Row],[ind]]),"")</f>
        <v/>
      </c>
      <c r="K93" s="1" t="str">
        <f>IF(games[[#This Row],[played]],INDEX(pages!$J$1:$J$759,games[[#This Row],[ind]]),"")</f>
        <v/>
      </c>
      <c r="L93" s="40" t="str">
        <f ca="1">INDEX(fields[char],MATCH(games[[#This Row],[field]],fields[field],0))&amp;IF(games[[#This Row],[tag]]="-","","("&amp;games[[#This Row],[tag]]&amp;")")</f>
        <v>p()</v>
      </c>
    </row>
    <row r="94" spans="1:12" x14ac:dyDescent="0.35">
      <c r="A94" s="1">
        <f t="shared" si="1"/>
        <v>19</v>
      </c>
      <c r="B94" s="1" t="s">
        <v>5</v>
      </c>
      <c r="C94" s="1">
        <f>INDEX(fields[column],MATCH(games[[#This Row],[field]],fields[field],0))</f>
        <v>3</v>
      </c>
      <c r="D94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94" s="40" t="str">
        <f ca="1">IF(LEN(games[[#This Row],[pair]])=3,MID(games[[#This Row],[pair]],2,1),"")</f>
        <v/>
      </c>
      <c r="F94" s="1">
        <f t="array" ref="F94">MATCH(1,(pages!$A$1:$A$957=games[[#This Row],[r]])*(pages!$B$1:$B$957=games[[#This Row],[field]]),0)</f>
        <v>104</v>
      </c>
      <c r="G94" s="1" t="b">
        <f>INDEX(pages!$L$1:$L$957,games[[#This Row],[ind]])</f>
        <v>0</v>
      </c>
      <c r="H94" s="1" t="str">
        <f ca="1">_xlfn.IFNA(IF(LEN(games[[#This Row],[pair]])=3,INDEX(teams[id],MATCH(LEFT(games[[#This Row],[pair]]),teams[char],0)),""),"")</f>
        <v/>
      </c>
      <c r="I94" s="1" t="str">
        <f ca="1">_xlfn.IFNA(IF(LEN(games[[#This Row],[pair]])=3,INDEX(teams[id],MATCH(RIGHT(games[[#This Row],[pair]]),teams[char],0)),""),"")</f>
        <v/>
      </c>
      <c r="J94" s="1" t="str">
        <f>IF(games[[#This Row],[played]],INDEX(pages!$I$1:$I$759,games[[#This Row],[ind]]),"")</f>
        <v/>
      </c>
      <c r="K94" s="1" t="str">
        <f>IF(games[[#This Row],[played]],INDEX(pages!$J$1:$J$759,games[[#This Row],[ind]]),"")</f>
        <v/>
      </c>
      <c r="L94" s="40" t="str">
        <f ca="1">INDEX(fields[char],MATCH(games[[#This Row],[field]],fields[field],0))&amp;IF(games[[#This Row],[tag]]="-","","("&amp;games[[#This Row],[tag]]&amp;")")</f>
        <v>k()</v>
      </c>
    </row>
    <row r="95" spans="1:12" x14ac:dyDescent="0.35">
      <c r="A95" s="1">
        <f t="shared" si="1"/>
        <v>19</v>
      </c>
      <c r="B95" s="1" t="s">
        <v>53</v>
      </c>
      <c r="C95" s="1">
        <f>INDEX(fields[column],MATCH(games[[#This Row],[field]],fields[field],0))</f>
        <v>4</v>
      </c>
      <c r="D95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95" s="40" t="str">
        <f ca="1">IF(LEN(games[[#This Row],[pair]])=3,MID(games[[#This Row],[pair]],2,1),"")</f>
        <v/>
      </c>
      <c r="F95" s="1">
        <f t="array" ref="F95">MATCH(1,(pages!$A$1:$A$957=games[[#This Row],[r]])*(pages!$B$1:$B$957=games[[#This Row],[field]]),0)</f>
        <v>105</v>
      </c>
      <c r="G95" s="1" t="b">
        <f>INDEX(pages!$L$1:$L$957,games[[#This Row],[ind]])</f>
        <v>0</v>
      </c>
      <c r="H95" s="1" t="str">
        <f ca="1">_xlfn.IFNA(IF(LEN(games[[#This Row],[pair]])=3,INDEX(teams[id],MATCH(LEFT(games[[#This Row],[pair]]),teams[char],0)),""),"")</f>
        <v/>
      </c>
      <c r="I95" s="1" t="str">
        <f ca="1">_xlfn.IFNA(IF(LEN(games[[#This Row],[pair]])=3,INDEX(teams[id],MATCH(RIGHT(games[[#This Row],[pair]]),teams[char],0)),""),"")</f>
        <v/>
      </c>
      <c r="J95" s="1" t="str">
        <f>IF(games[[#This Row],[played]],INDEX(pages!$I$1:$I$759,games[[#This Row],[ind]]),"")</f>
        <v/>
      </c>
      <c r="K95" s="1" t="str">
        <f>IF(games[[#This Row],[played]],INDEX(pages!$J$1:$J$759,games[[#This Row],[ind]]),"")</f>
        <v/>
      </c>
      <c r="L95" s="40" t="str">
        <f ca="1">INDEX(fields[char],MATCH(games[[#This Row],[field]],fields[field],0))&amp;IF(games[[#This Row],[tag]]="-","","("&amp;games[[#This Row],[tag]]&amp;")")</f>
        <v>v()</v>
      </c>
    </row>
    <row r="96" spans="1:12" x14ac:dyDescent="0.35">
      <c r="A96" s="1">
        <f t="shared" si="1"/>
        <v>19</v>
      </c>
      <c r="B96" s="1" t="s">
        <v>54</v>
      </c>
      <c r="C96" s="1">
        <f>INDEX(fields[column],MATCH(games[[#This Row],[field]],fields[field],0))</f>
        <v>5</v>
      </c>
      <c r="D96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96" s="40" t="str">
        <f ca="1">IF(LEN(games[[#This Row],[pair]])=3,MID(games[[#This Row],[pair]],2,1),"")</f>
        <v/>
      </c>
      <c r="F96" s="1">
        <f t="array" ref="F96">MATCH(1,(pages!$A$1:$A$957=games[[#This Row],[r]])*(pages!$B$1:$B$957=games[[#This Row],[field]]),0)</f>
        <v>106</v>
      </c>
      <c r="G96" s="1" t="b">
        <f>INDEX(pages!$L$1:$L$957,games[[#This Row],[ind]])</f>
        <v>0</v>
      </c>
      <c r="H96" s="1" t="str">
        <f ca="1">_xlfn.IFNA(IF(LEN(games[[#This Row],[pair]])=3,INDEX(teams[id],MATCH(LEFT(games[[#This Row],[pair]]),teams[char],0)),""),"")</f>
        <v/>
      </c>
      <c r="I96" s="1" t="str">
        <f ca="1">_xlfn.IFNA(IF(LEN(games[[#This Row],[pair]])=3,INDEX(teams[id],MATCH(RIGHT(games[[#This Row],[pair]]),teams[char],0)),""),"")</f>
        <v/>
      </c>
      <c r="J96" s="1" t="str">
        <f>IF(games[[#This Row],[played]],INDEX(pages!$I$1:$I$759,games[[#This Row],[ind]]),"")</f>
        <v/>
      </c>
      <c r="K96" s="1" t="str">
        <f>IF(games[[#This Row],[played]],INDEX(pages!$J$1:$J$759,games[[#This Row],[ind]]),"")</f>
        <v/>
      </c>
      <c r="L96" s="40" t="str">
        <f ca="1">INDEX(fields[char],MATCH(games[[#This Row],[field]],fields[field],0))&amp;IF(games[[#This Row],[tag]]="-","","("&amp;games[[#This Row],[tag]]&amp;")")</f>
        <v>m()</v>
      </c>
    </row>
    <row r="97" spans="1:12" x14ac:dyDescent="0.35">
      <c r="A97" s="1">
        <f t="shared" si="1"/>
        <v>20</v>
      </c>
      <c r="B97" s="1" t="s">
        <v>3</v>
      </c>
      <c r="C97" s="1">
        <f>INDEX(fields[column],MATCH(games[[#This Row],[field]],fields[field],0))</f>
        <v>1</v>
      </c>
      <c r="D97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97" s="40" t="str">
        <f ca="1">IF(LEN(games[[#This Row],[pair]])=3,MID(games[[#This Row],[pair]],2,1),"")</f>
        <v/>
      </c>
      <c r="F97" s="1">
        <f t="array" ref="F97">MATCH(1,(pages!$A$1:$A$957=games[[#This Row],[r]])*(pages!$B$1:$B$957=games[[#This Row],[field]]),0)</f>
        <v>107</v>
      </c>
      <c r="G97" s="1" t="b">
        <f>INDEX(pages!$L$1:$L$957,games[[#This Row],[ind]])</f>
        <v>0</v>
      </c>
      <c r="H97" s="1" t="str">
        <f ca="1">_xlfn.IFNA(IF(LEN(games[[#This Row],[pair]])=3,INDEX(teams[id],MATCH(LEFT(games[[#This Row],[pair]]),teams[char],0)),""),"")</f>
        <v/>
      </c>
      <c r="I97" s="1" t="str">
        <f ca="1">_xlfn.IFNA(IF(LEN(games[[#This Row],[pair]])=3,INDEX(teams[id],MATCH(RIGHT(games[[#This Row],[pair]]),teams[char],0)),""),"")</f>
        <v/>
      </c>
      <c r="J97" s="1" t="str">
        <f>IF(games[[#This Row],[played]],INDEX(pages!$I$1:$I$759,games[[#This Row],[ind]]),"")</f>
        <v/>
      </c>
      <c r="K97" s="1" t="str">
        <f>IF(games[[#This Row],[played]],INDEX(pages!$J$1:$J$759,games[[#This Row],[ind]]),"")</f>
        <v/>
      </c>
      <c r="L97" s="40" t="str">
        <f ca="1">INDEX(fields[char],MATCH(games[[#This Row],[field]],fields[field],0))&amp;IF(games[[#This Row],[tag]]="-","","("&amp;games[[#This Row],[tag]]&amp;")")</f>
        <v>p()</v>
      </c>
    </row>
    <row r="98" spans="1:12" x14ac:dyDescent="0.35">
      <c r="A98" s="1">
        <f t="shared" si="1"/>
        <v>20</v>
      </c>
      <c r="B98" s="1" t="s">
        <v>4</v>
      </c>
      <c r="C98" s="1">
        <f>INDEX(fields[column],MATCH(games[[#This Row],[field]],fields[field],0))</f>
        <v>2</v>
      </c>
      <c r="D98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98" s="40" t="str">
        <f ca="1">IF(LEN(games[[#This Row],[pair]])=3,MID(games[[#This Row],[pair]],2,1),"")</f>
        <v/>
      </c>
      <c r="F98" s="1">
        <f t="array" ref="F98">MATCH(1,(pages!$A$1:$A$957=games[[#This Row],[r]])*(pages!$B$1:$B$957=games[[#This Row],[field]]),0)</f>
        <v>108</v>
      </c>
      <c r="G98" s="1" t="b">
        <f>INDEX(pages!$L$1:$L$957,games[[#This Row],[ind]])</f>
        <v>0</v>
      </c>
      <c r="H98" s="1" t="str">
        <f ca="1">_xlfn.IFNA(IF(LEN(games[[#This Row],[pair]])=3,INDEX(teams[id],MATCH(LEFT(games[[#This Row],[pair]]),teams[char],0)),""),"")</f>
        <v/>
      </c>
      <c r="I98" s="1" t="str">
        <f ca="1">_xlfn.IFNA(IF(LEN(games[[#This Row],[pair]])=3,INDEX(teams[id],MATCH(RIGHT(games[[#This Row],[pair]]),teams[char],0)),""),"")</f>
        <v/>
      </c>
      <c r="J98" s="1" t="str">
        <f>IF(games[[#This Row],[played]],INDEX(pages!$I$1:$I$759,games[[#This Row],[ind]]),"")</f>
        <v/>
      </c>
      <c r="K98" s="1" t="str">
        <f>IF(games[[#This Row],[played]],INDEX(pages!$J$1:$J$759,games[[#This Row],[ind]]),"")</f>
        <v/>
      </c>
      <c r="L98" s="40" t="str">
        <f ca="1">INDEX(fields[char],MATCH(games[[#This Row],[field]],fields[field],0))&amp;IF(games[[#This Row],[tag]]="-","","("&amp;games[[#This Row],[tag]]&amp;")")</f>
        <v>p()</v>
      </c>
    </row>
    <row r="99" spans="1:12" x14ac:dyDescent="0.35">
      <c r="A99" s="1">
        <f t="shared" si="1"/>
        <v>20</v>
      </c>
      <c r="B99" s="1" t="s">
        <v>5</v>
      </c>
      <c r="C99" s="1">
        <f>INDEX(fields[column],MATCH(games[[#This Row],[field]],fields[field],0))</f>
        <v>3</v>
      </c>
      <c r="D99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99" s="40" t="str">
        <f ca="1">IF(LEN(games[[#This Row],[pair]])=3,MID(games[[#This Row],[pair]],2,1),"")</f>
        <v/>
      </c>
      <c r="F99" s="1">
        <f t="array" ref="F99">MATCH(1,(pages!$A$1:$A$957=games[[#This Row],[r]])*(pages!$B$1:$B$957=games[[#This Row],[field]]),0)</f>
        <v>109</v>
      </c>
      <c r="G99" s="1" t="b">
        <f>INDEX(pages!$L$1:$L$957,games[[#This Row],[ind]])</f>
        <v>0</v>
      </c>
      <c r="H99" s="1" t="str">
        <f ca="1">_xlfn.IFNA(IF(LEN(games[[#This Row],[pair]])=3,INDEX(teams[id],MATCH(LEFT(games[[#This Row],[pair]]),teams[char],0)),""),"")</f>
        <v/>
      </c>
      <c r="I99" s="1" t="str">
        <f ca="1">_xlfn.IFNA(IF(LEN(games[[#This Row],[pair]])=3,INDEX(teams[id],MATCH(RIGHT(games[[#This Row],[pair]]),teams[char],0)),""),"")</f>
        <v/>
      </c>
      <c r="J99" s="1" t="str">
        <f>IF(games[[#This Row],[played]],INDEX(pages!$I$1:$I$759,games[[#This Row],[ind]]),"")</f>
        <v/>
      </c>
      <c r="K99" s="1" t="str">
        <f>IF(games[[#This Row],[played]],INDEX(pages!$J$1:$J$759,games[[#This Row],[ind]]),"")</f>
        <v/>
      </c>
      <c r="L99" s="40" t="str">
        <f ca="1">INDEX(fields[char],MATCH(games[[#This Row],[field]],fields[field],0))&amp;IF(games[[#This Row],[tag]]="-","","("&amp;games[[#This Row],[tag]]&amp;")")</f>
        <v>k()</v>
      </c>
    </row>
    <row r="100" spans="1:12" x14ac:dyDescent="0.35">
      <c r="A100" s="1">
        <f t="shared" si="1"/>
        <v>20</v>
      </c>
      <c r="B100" s="1" t="s">
        <v>53</v>
      </c>
      <c r="C100" s="1">
        <f>INDEX(fields[column],MATCH(games[[#This Row],[field]],fields[field],0))</f>
        <v>4</v>
      </c>
      <c r="D100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00" s="40" t="str">
        <f ca="1">IF(LEN(games[[#This Row],[pair]])=3,MID(games[[#This Row],[pair]],2,1),"")</f>
        <v/>
      </c>
      <c r="F100" s="1">
        <f t="array" ref="F100">MATCH(1,(pages!$A$1:$A$957=games[[#This Row],[r]])*(pages!$B$1:$B$957=games[[#This Row],[field]]),0)</f>
        <v>110</v>
      </c>
      <c r="G100" s="1" t="b">
        <f>INDEX(pages!$L$1:$L$957,games[[#This Row],[ind]])</f>
        <v>0</v>
      </c>
      <c r="H100" s="1" t="str">
        <f ca="1">_xlfn.IFNA(IF(LEN(games[[#This Row],[pair]])=3,INDEX(teams[id],MATCH(LEFT(games[[#This Row],[pair]]),teams[char],0)),""),"")</f>
        <v/>
      </c>
      <c r="I100" s="1" t="str">
        <f ca="1">_xlfn.IFNA(IF(LEN(games[[#This Row],[pair]])=3,INDEX(teams[id],MATCH(RIGHT(games[[#This Row],[pair]]),teams[char],0)),""),"")</f>
        <v/>
      </c>
      <c r="J100" s="1" t="str">
        <f>IF(games[[#This Row],[played]],INDEX(pages!$I$1:$I$759,games[[#This Row],[ind]]),"")</f>
        <v/>
      </c>
      <c r="K100" s="1" t="str">
        <f>IF(games[[#This Row],[played]],INDEX(pages!$J$1:$J$759,games[[#This Row],[ind]]),"")</f>
        <v/>
      </c>
      <c r="L100" s="40" t="str">
        <f ca="1">INDEX(fields[char],MATCH(games[[#This Row],[field]],fields[field],0))&amp;IF(games[[#This Row],[tag]]="-","","("&amp;games[[#This Row],[tag]]&amp;")")</f>
        <v>v()</v>
      </c>
    </row>
    <row r="101" spans="1:12" x14ac:dyDescent="0.35">
      <c r="A101" s="1">
        <f t="shared" si="1"/>
        <v>20</v>
      </c>
      <c r="B101" s="1" t="s">
        <v>54</v>
      </c>
      <c r="C101" s="1">
        <f>INDEX(fields[column],MATCH(games[[#This Row],[field]],fields[field],0))</f>
        <v>5</v>
      </c>
      <c r="D101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01" s="40" t="str">
        <f ca="1">IF(LEN(games[[#This Row],[pair]])=3,MID(games[[#This Row],[pair]],2,1),"")</f>
        <v/>
      </c>
      <c r="F101" s="1">
        <f t="array" ref="F101">MATCH(1,(pages!$A$1:$A$957=games[[#This Row],[r]])*(pages!$B$1:$B$957=games[[#This Row],[field]]),0)</f>
        <v>111</v>
      </c>
      <c r="G101" s="1" t="b">
        <f>INDEX(pages!$L$1:$L$957,games[[#This Row],[ind]])</f>
        <v>0</v>
      </c>
      <c r="H101" s="1" t="str">
        <f ca="1">_xlfn.IFNA(IF(LEN(games[[#This Row],[pair]])=3,INDEX(teams[id],MATCH(LEFT(games[[#This Row],[pair]]),teams[char],0)),""),"")</f>
        <v/>
      </c>
      <c r="I101" s="1" t="str">
        <f ca="1">_xlfn.IFNA(IF(LEN(games[[#This Row],[pair]])=3,INDEX(teams[id],MATCH(RIGHT(games[[#This Row],[pair]]),teams[char],0)),""),"")</f>
        <v/>
      </c>
      <c r="J101" s="1" t="str">
        <f>IF(games[[#This Row],[played]],INDEX(pages!$I$1:$I$759,games[[#This Row],[ind]]),"")</f>
        <v/>
      </c>
      <c r="K101" s="1" t="str">
        <f>IF(games[[#This Row],[played]],INDEX(pages!$J$1:$J$759,games[[#This Row],[ind]]),"")</f>
        <v/>
      </c>
      <c r="L101" s="40" t="str">
        <f ca="1">INDEX(fields[char],MATCH(games[[#This Row],[field]],fields[field],0))&amp;IF(games[[#This Row],[tag]]="-","","("&amp;games[[#This Row],[tag]]&amp;")")</f>
        <v>m()</v>
      </c>
    </row>
    <row r="102" spans="1:12" x14ac:dyDescent="0.35">
      <c r="A102" s="1">
        <f t="shared" si="1"/>
        <v>21</v>
      </c>
      <c r="B102" s="1" t="s">
        <v>3</v>
      </c>
      <c r="C102" s="1">
        <f>INDEX(fields[column],MATCH(games[[#This Row],[field]],fields[field],0))</f>
        <v>1</v>
      </c>
      <c r="D102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02" s="40" t="str">
        <f ca="1">IF(LEN(games[[#This Row],[pair]])=3,MID(games[[#This Row],[pair]],2,1),"")</f>
        <v/>
      </c>
      <c r="F102" s="1">
        <f t="array" ref="F102">MATCH(1,(pages!$A$1:$A$957=games[[#This Row],[r]])*(pages!$B$1:$B$957=games[[#This Row],[field]]),0)</f>
        <v>114</v>
      </c>
      <c r="G102" s="1" t="b">
        <f>INDEX(pages!$L$1:$L$957,games[[#This Row],[ind]])</f>
        <v>0</v>
      </c>
      <c r="H102" s="1" t="str">
        <f ca="1">_xlfn.IFNA(IF(LEN(games[[#This Row],[pair]])=3,INDEX(teams[id],MATCH(LEFT(games[[#This Row],[pair]]),teams[char],0)),""),"")</f>
        <v/>
      </c>
      <c r="I102" s="1" t="str">
        <f ca="1">_xlfn.IFNA(IF(LEN(games[[#This Row],[pair]])=3,INDEX(teams[id],MATCH(RIGHT(games[[#This Row],[pair]]),teams[char],0)),""),"")</f>
        <v/>
      </c>
      <c r="J102" s="1" t="str">
        <f>IF(games[[#This Row],[played]],INDEX(pages!$I$1:$I$759,games[[#This Row],[ind]]),"")</f>
        <v/>
      </c>
      <c r="K102" s="1" t="str">
        <f>IF(games[[#This Row],[played]],INDEX(pages!$J$1:$J$759,games[[#This Row],[ind]]),"")</f>
        <v/>
      </c>
      <c r="L102" s="40" t="str">
        <f ca="1">INDEX(fields[char],MATCH(games[[#This Row],[field]],fields[field],0))&amp;IF(games[[#This Row],[tag]]="-","","("&amp;games[[#This Row],[tag]]&amp;")")</f>
        <v>p()</v>
      </c>
    </row>
    <row r="103" spans="1:12" x14ac:dyDescent="0.35">
      <c r="A103" s="1">
        <f t="shared" si="1"/>
        <v>21</v>
      </c>
      <c r="B103" s="1" t="s">
        <v>4</v>
      </c>
      <c r="C103" s="1">
        <f>INDEX(fields[column],MATCH(games[[#This Row],[field]],fields[field],0))</f>
        <v>2</v>
      </c>
      <c r="D103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03" s="40" t="str">
        <f ca="1">IF(LEN(games[[#This Row],[pair]])=3,MID(games[[#This Row],[pair]],2,1),"")</f>
        <v/>
      </c>
      <c r="F103" s="1">
        <f t="array" ref="F103">MATCH(1,(pages!$A$1:$A$957=games[[#This Row],[r]])*(pages!$B$1:$B$957=games[[#This Row],[field]]),0)</f>
        <v>115</v>
      </c>
      <c r="G103" s="1" t="b">
        <f>INDEX(pages!$L$1:$L$957,games[[#This Row],[ind]])</f>
        <v>0</v>
      </c>
      <c r="H103" s="1" t="str">
        <f ca="1">_xlfn.IFNA(IF(LEN(games[[#This Row],[pair]])=3,INDEX(teams[id],MATCH(LEFT(games[[#This Row],[pair]]),teams[char],0)),""),"")</f>
        <v/>
      </c>
      <c r="I103" s="1" t="str">
        <f ca="1">_xlfn.IFNA(IF(LEN(games[[#This Row],[pair]])=3,INDEX(teams[id],MATCH(RIGHT(games[[#This Row],[pair]]),teams[char],0)),""),"")</f>
        <v/>
      </c>
      <c r="J103" s="1" t="str">
        <f>IF(games[[#This Row],[played]],INDEX(pages!$I$1:$I$759,games[[#This Row],[ind]]),"")</f>
        <v/>
      </c>
      <c r="K103" s="1" t="str">
        <f>IF(games[[#This Row],[played]],INDEX(pages!$J$1:$J$759,games[[#This Row],[ind]]),"")</f>
        <v/>
      </c>
      <c r="L103" s="40" t="str">
        <f ca="1">INDEX(fields[char],MATCH(games[[#This Row],[field]],fields[field],0))&amp;IF(games[[#This Row],[tag]]="-","","("&amp;games[[#This Row],[tag]]&amp;")")</f>
        <v>p()</v>
      </c>
    </row>
    <row r="104" spans="1:12" x14ac:dyDescent="0.35">
      <c r="A104" s="1">
        <f t="shared" si="1"/>
        <v>21</v>
      </c>
      <c r="B104" s="1" t="s">
        <v>5</v>
      </c>
      <c r="C104" s="1">
        <f>INDEX(fields[column],MATCH(games[[#This Row],[field]],fields[field],0))</f>
        <v>3</v>
      </c>
      <c r="D104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04" s="40" t="str">
        <f ca="1">IF(LEN(games[[#This Row],[pair]])=3,MID(games[[#This Row],[pair]],2,1),"")</f>
        <v/>
      </c>
      <c r="F104" s="1">
        <f t="array" ref="F104">MATCH(1,(pages!$A$1:$A$957=games[[#This Row],[r]])*(pages!$B$1:$B$957=games[[#This Row],[field]]),0)</f>
        <v>116</v>
      </c>
      <c r="G104" s="1" t="b">
        <f>INDEX(pages!$L$1:$L$957,games[[#This Row],[ind]])</f>
        <v>0</v>
      </c>
      <c r="H104" s="1" t="str">
        <f ca="1">_xlfn.IFNA(IF(LEN(games[[#This Row],[pair]])=3,INDEX(teams[id],MATCH(LEFT(games[[#This Row],[pair]]),teams[char],0)),""),"")</f>
        <v/>
      </c>
      <c r="I104" s="1" t="str">
        <f ca="1">_xlfn.IFNA(IF(LEN(games[[#This Row],[pair]])=3,INDEX(teams[id],MATCH(RIGHT(games[[#This Row],[pair]]),teams[char],0)),""),"")</f>
        <v/>
      </c>
      <c r="J104" s="1" t="str">
        <f>IF(games[[#This Row],[played]],INDEX(pages!$I$1:$I$759,games[[#This Row],[ind]]),"")</f>
        <v/>
      </c>
      <c r="K104" s="1" t="str">
        <f>IF(games[[#This Row],[played]],INDEX(pages!$J$1:$J$759,games[[#This Row],[ind]]),"")</f>
        <v/>
      </c>
      <c r="L104" s="40" t="str">
        <f ca="1">INDEX(fields[char],MATCH(games[[#This Row],[field]],fields[field],0))&amp;IF(games[[#This Row],[tag]]="-","","("&amp;games[[#This Row],[tag]]&amp;")")</f>
        <v>k()</v>
      </c>
    </row>
    <row r="105" spans="1:12" x14ac:dyDescent="0.35">
      <c r="A105" s="1">
        <f t="shared" si="1"/>
        <v>21</v>
      </c>
      <c r="B105" s="1" t="s">
        <v>53</v>
      </c>
      <c r="C105" s="1">
        <f>INDEX(fields[column],MATCH(games[[#This Row],[field]],fields[field],0))</f>
        <v>4</v>
      </c>
      <c r="D105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05" s="40" t="str">
        <f ca="1">IF(LEN(games[[#This Row],[pair]])=3,MID(games[[#This Row],[pair]],2,1),"")</f>
        <v/>
      </c>
      <c r="F105" s="1">
        <f t="array" ref="F105">MATCH(1,(pages!$A$1:$A$957=games[[#This Row],[r]])*(pages!$B$1:$B$957=games[[#This Row],[field]]),0)</f>
        <v>117</v>
      </c>
      <c r="G105" s="1" t="b">
        <f>INDEX(pages!$L$1:$L$957,games[[#This Row],[ind]])</f>
        <v>0</v>
      </c>
      <c r="H105" s="1" t="str">
        <f ca="1">_xlfn.IFNA(IF(LEN(games[[#This Row],[pair]])=3,INDEX(teams[id],MATCH(LEFT(games[[#This Row],[pair]]),teams[char],0)),""),"")</f>
        <v/>
      </c>
      <c r="I105" s="1" t="str">
        <f ca="1">_xlfn.IFNA(IF(LEN(games[[#This Row],[pair]])=3,INDEX(teams[id],MATCH(RIGHT(games[[#This Row],[pair]]),teams[char],0)),""),"")</f>
        <v/>
      </c>
      <c r="J105" s="1" t="str">
        <f>IF(games[[#This Row],[played]],INDEX(pages!$I$1:$I$759,games[[#This Row],[ind]]),"")</f>
        <v/>
      </c>
      <c r="K105" s="1" t="str">
        <f>IF(games[[#This Row],[played]],INDEX(pages!$J$1:$J$759,games[[#This Row],[ind]]),"")</f>
        <v/>
      </c>
      <c r="L105" s="40" t="str">
        <f ca="1">INDEX(fields[char],MATCH(games[[#This Row],[field]],fields[field],0))&amp;IF(games[[#This Row],[tag]]="-","","("&amp;games[[#This Row],[tag]]&amp;")")</f>
        <v>v()</v>
      </c>
    </row>
    <row r="106" spans="1:12" x14ac:dyDescent="0.35">
      <c r="A106" s="1">
        <f t="shared" si="1"/>
        <v>21</v>
      </c>
      <c r="B106" s="1" t="s">
        <v>54</v>
      </c>
      <c r="C106" s="1">
        <f>INDEX(fields[column],MATCH(games[[#This Row],[field]],fields[field],0))</f>
        <v>5</v>
      </c>
      <c r="D106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06" s="40" t="str">
        <f ca="1">IF(LEN(games[[#This Row],[pair]])=3,MID(games[[#This Row],[pair]],2,1),"")</f>
        <v/>
      </c>
      <c r="F106" s="1">
        <f t="array" ref="F106">MATCH(1,(pages!$A$1:$A$957=games[[#This Row],[r]])*(pages!$B$1:$B$957=games[[#This Row],[field]]),0)</f>
        <v>118</v>
      </c>
      <c r="G106" s="1" t="b">
        <f>INDEX(pages!$L$1:$L$957,games[[#This Row],[ind]])</f>
        <v>0</v>
      </c>
      <c r="H106" s="1" t="str">
        <f ca="1">_xlfn.IFNA(IF(LEN(games[[#This Row],[pair]])=3,INDEX(teams[id],MATCH(LEFT(games[[#This Row],[pair]]),teams[char],0)),""),"")</f>
        <v/>
      </c>
      <c r="I106" s="1" t="str">
        <f ca="1">_xlfn.IFNA(IF(LEN(games[[#This Row],[pair]])=3,INDEX(teams[id],MATCH(RIGHT(games[[#This Row],[pair]]),teams[char],0)),""),"")</f>
        <v/>
      </c>
      <c r="J106" s="1" t="str">
        <f>IF(games[[#This Row],[played]],INDEX(pages!$I$1:$I$759,games[[#This Row],[ind]]),"")</f>
        <v/>
      </c>
      <c r="K106" s="1" t="str">
        <f>IF(games[[#This Row],[played]],INDEX(pages!$J$1:$J$759,games[[#This Row],[ind]]),"")</f>
        <v/>
      </c>
      <c r="L106" s="40" t="str">
        <f ca="1">INDEX(fields[char],MATCH(games[[#This Row],[field]],fields[field],0))&amp;IF(games[[#This Row],[tag]]="-","","("&amp;games[[#This Row],[tag]]&amp;")")</f>
        <v>m()</v>
      </c>
    </row>
    <row r="107" spans="1:12" x14ac:dyDescent="0.35">
      <c r="A107" s="1">
        <f t="shared" si="1"/>
        <v>22</v>
      </c>
      <c r="B107" s="1" t="s">
        <v>3</v>
      </c>
      <c r="C107" s="1">
        <f>INDEX(fields[column],MATCH(games[[#This Row],[field]],fields[field],0))</f>
        <v>1</v>
      </c>
      <c r="D107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07" s="40" t="str">
        <f ca="1">IF(LEN(games[[#This Row],[pair]])=3,MID(games[[#This Row],[pair]],2,1),"")</f>
        <v/>
      </c>
      <c r="F107" s="1">
        <f t="array" ref="F107">MATCH(1,(pages!$A$1:$A$957=games[[#This Row],[r]])*(pages!$B$1:$B$957=games[[#This Row],[field]]),0)</f>
        <v>119</v>
      </c>
      <c r="G107" s="1" t="b">
        <f>INDEX(pages!$L$1:$L$957,games[[#This Row],[ind]])</f>
        <v>0</v>
      </c>
      <c r="H107" s="1" t="str">
        <f ca="1">_xlfn.IFNA(IF(LEN(games[[#This Row],[pair]])=3,INDEX(teams[id],MATCH(LEFT(games[[#This Row],[pair]]),teams[char],0)),""),"")</f>
        <v/>
      </c>
      <c r="I107" s="1" t="str">
        <f ca="1">_xlfn.IFNA(IF(LEN(games[[#This Row],[pair]])=3,INDEX(teams[id],MATCH(RIGHT(games[[#This Row],[pair]]),teams[char],0)),""),"")</f>
        <v/>
      </c>
      <c r="J107" s="1" t="str">
        <f>IF(games[[#This Row],[played]],INDEX(pages!$I$1:$I$759,games[[#This Row],[ind]]),"")</f>
        <v/>
      </c>
      <c r="K107" s="1" t="str">
        <f>IF(games[[#This Row],[played]],INDEX(pages!$J$1:$J$759,games[[#This Row],[ind]]),"")</f>
        <v/>
      </c>
      <c r="L107" s="40" t="str">
        <f ca="1">INDEX(fields[char],MATCH(games[[#This Row],[field]],fields[field],0))&amp;IF(games[[#This Row],[tag]]="-","","("&amp;games[[#This Row],[tag]]&amp;")")</f>
        <v>p()</v>
      </c>
    </row>
    <row r="108" spans="1:12" x14ac:dyDescent="0.35">
      <c r="A108" s="1">
        <f t="shared" si="1"/>
        <v>22</v>
      </c>
      <c r="B108" s="1" t="s">
        <v>4</v>
      </c>
      <c r="C108" s="1">
        <f>INDEX(fields[column],MATCH(games[[#This Row],[field]],fields[field],0))</f>
        <v>2</v>
      </c>
      <c r="D108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08" s="40" t="str">
        <f ca="1">IF(LEN(games[[#This Row],[pair]])=3,MID(games[[#This Row],[pair]],2,1),"")</f>
        <v/>
      </c>
      <c r="F108" s="1">
        <f t="array" ref="F108">MATCH(1,(pages!$A$1:$A$957=games[[#This Row],[r]])*(pages!$B$1:$B$957=games[[#This Row],[field]]),0)</f>
        <v>120</v>
      </c>
      <c r="G108" s="1" t="b">
        <f>INDEX(pages!$L$1:$L$957,games[[#This Row],[ind]])</f>
        <v>0</v>
      </c>
      <c r="H108" s="1" t="str">
        <f ca="1">_xlfn.IFNA(IF(LEN(games[[#This Row],[pair]])=3,INDEX(teams[id],MATCH(LEFT(games[[#This Row],[pair]]),teams[char],0)),""),"")</f>
        <v/>
      </c>
      <c r="I108" s="1" t="str">
        <f ca="1">_xlfn.IFNA(IF(LEN(games[[#This Row],[pair]])=3,INDEX(teams[id],MATCH(RIGHT(games[[#This Row],[pair]]),teams[char],0)),""),"")</f>
        <v/>
      </c>
      <c r="J108" s="1" t="str">
        <f>IF(games[[#This Row],[played]],INDEX(pages!$I$1:$I$759,games[[#This Row],[ind]]),"")</f>
        <v/>
      </c>
      <c r="K108" s="1" t="str">
        <f>IF(games[[#This Row],[played]],INDEX(pages!$J$1:$J$759,games[[#This Row],[ind]]),"")</f>
        <v/>
      </c>
      <c r="L108" s="40" t="str">
        <f ca="1">INDEX(fields[char],MATCH(games[[#This Row],[field]],fields[field],0))&amp;IF(games[[#This Row],[tag]]="-","","("&amp;games[[#This Row],[tag]]&amp;")")</f>
        <v>p()</v>
      </c>
    </row>
    <row r="109" spans="1:12" x14ac:dyDescent="0.35">
      <c r="A109" s="1">
        <f t="shared" si="1"/>
        <v>22</v>
      </c>
      <c r="B109" s="1" t="s">
        <v>5</v>
      </c>
      <c r="C109" s="1">
        <f>INDEX(fields[column],MATCH(games[[#This Row],[field]],fields[field],0))</f>
        <v>3</v>
      </c>
      <c r="D109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09" s="40" t="str">
        <f ca="1">IF(LEN(games[[#This Row],[pair]])=3,MID(games[[#This Row],[pair]],2,1),"")</f>
        <v/>
      </c>
      <c r="F109" s="1">
        <f t="array" ref="F109">MATCH(1,(pages!$A$1:$A$957=games[[#This Row],[r]])*(pages!$B$1:$B$957=games[[#This Row],[field]]),0)</f>
        <v>121</v>
      </c>
      <c r="G109" s="1" t="b">
        <f>INDEX(pages!$L$1:$L$957,games[[#This Row],[ind]])</f>
        <v>0</v>
      </c>
      <c r="H109" s="1" t="str">
        <f ca="1">_xlfn.IFNA(IF(LEN(games[[#This Row],[pair]])=3,INDEX(teams[id],MATCH(LEFT(games[[#This Row],[pair]]),teams[char],0)),""),"")</f>
        <v/>
      </c>
      <c r="I109" s="1" t="str">
        <f ca="1">_xlfn.IFNA(IF(LEN(games[[#This Row],[pair]])=3,INDEX(teams[id],MATCH(RIGHT(games[[#This Row],[pair]]),teams[char],0)),""),"")</f>
        <v/>
      </c>
      <c r="J109" s="1" t="str">
        <f>IF(games[[#This Row],[played]],INDEX(pages!$I$1:$I$759,games[[#This Row],[ind]]),"")</f>
        <v/>
      </c>
      <c r="K109" s="1" t="str">
        <f>IF(games[[#This Row],[played]],INDEX(pages!$J$1:$J$759,games[[#This Row],[ind]]),"")</f>
        <v/>
      </c>
      <c r="L109" s="40" t="str">
        <f ca="1">INDEX(fields[char],MATCH(games[[#This Row],[field]],fields[field],0))&amp;IF(games[[#This Row],[tag]]="-","","("&amp;games[[#This Row],[tag]]&amp;")")</f>
        <v>k()</v>
      </c>
    </row>
    <row r="110" spans="1:12" x14ac:dyDescent="0.35">
      <c r="A110" s="1">
        <f t="shared" si="1"/>
        <v>22</v>
      </c>
      <c r="B110" s="1" t="s">
        <v>53</v>
      </c>
      <c r="C110" s="1">
        <f>INDEX(fields[column],MATCH(games[[#This Row],[field]],fields[field],0))</f>
        <v>4</v>
      </c>
      <c r="D110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10" s="40" t="str">
        <f ca="1">IF(LEN(games[[#This Row],[pair]])=3,MID(games[[#This Row],[pair]],2,1),"")</f>
        <v/>
      </c>
      <c r="F110" s="1">
        <f t="array" ref="F110">MATCH(1,(pages!$A$1:$A$957=games[[#This Row],[r]])*(pages!$B$1:$B$957=games[[#This Row],[field]]),0)</f>
        <v>122</v>
      </c>
      <c r="G110" s="1" t="b">
        <f>INDEX(pages!$L$1:$L$957,games[[#This Row],[ind]])</f>
        <v>0</v>
      </c>
      <c r="H110" s="1" t="str">
        <f ca="1">_xlfn.IFNA(IF(LEN(games[[#This Row],[pair]])=3,INDEX(teams[id],MATCH(LEFT(games[[#This Row],[pair]]),teams[char],0)),""),"")</f>
        <v/>
      </c>
      <c r="I110" s="1" t="str">
        <f ca="1">_xlfn.IFNA(IF(LEN(games[[#This Row],[pair]])=3,INDEX(teams[id],MATCH(RIGHT(games[[#This Row],[pair]]),teams[char],0)),""),"")</f>
        <v/>
      </c>
      <c r="J110" s="1" t="str">
        <f>IF(games[[#This Row],[played]],INDEX(pages!$I$1:$I$759,games[[#This Row],[ind]]),"")</f>
        <v/>
      </c>
      <c r="K110" s="1" t="str">
        <f>IF(games[[#This Row],[played]],INDEX(pages!$J$1:$J$759,games[[#This Row],[ind]]),"")</f>
        <v/>
      </c>
      <c r="L110" s="40" t="str">
        <f ca="1">INDEX(fields[char],MATCH(games[[#This Row],[field]],fields[field],0))&amp;IF(games[[#This Row],[tag]]="-","","("&amp;games[[#This Row],[tag]]&amp;")")</f>
        <v>v()</v>
      </c>
    </row>
    <row r="111" spans="1:12" x14ac:dyDescent="0.35">
      <c r="A111" s="1">
        <f t="shared" si="1"/>
        <v>22</v>
      </c>
      <c r="B111" s="1" t="s">
        <v>54</v>
      </c>
      <c r="C111" s="1">
        <f>INDEX(fields[column],MATCH(games[[#This Row],[field]],fields[field],0))</f>
        <v>5</v>
      </c>
      <c r="D111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11" s="40" t="str">
        <f ca="1">IF(LEN(games[[#This Row],[pair]])=3,MID(games[[#This Row],[pair]],2,1),"")</f>
        <v/>
      </c>
      <c r="F111" s="1">
        <f t="array" ref="F111">MATCH(1,(pages!$A$1:$A$957=games[[#This Row],[r]])*(pages!$B$1:$B$957=games[[#This Row],[field]]),0)</f>
        <v>123</v>
      </c>
      <c r="G111" s="1" t="b">
        <f>INDEX(pages!$L$1:$L$957,games[[#This Row],[ind]])</f>
        <v>0</v>
      </c>
      <c r="H111" s="1" t="str">
        <f ca="1">_xlfn.IFNA(IF(LEN(games[[#This Row],[pair]])=3,INDEX(teams[id],MATCH(LEFT(games[[#This Row],[pair]]),teams[char],0)),""),"")</f>
        <v/>
      </c>
      <c r="I111" s="1" t="str">
        <f ca="1">_xlfn.IFNA(IF(LEN(games[[#This Row],[pair]])=3,INDEX(teams[id],MATCH(RIGHT(games[[#This Row],[pair]]),teams[char],0)),""),"")</f>
        <v/>
      </c>
      <c r="J111" s="1" t="str">
        <f>IF(games[[#This Row],[played]],INDEX(pages!$I$1:$I$759,games[[#This Row],[ind]]),"")</f>
        <v/>
      </c>
      <c r="K111" s="1" t="str">
        <f>IF(games[[#This Row],[played]],INDEX(pages!$J$1:$J$759,games[[#This Row],[ind]]),"")</f>
        <v/>
      </c>
      <c r="L111" s="40" t="str">
        <f ca="1">INDEX(fields[char],MATCH(games[[#This Row],[field]],fields[field],0))&amp;IF(games[[#This Row],[tag]]="-","","("&amp;games[[#This Row],[tag]]&amp;")")</f>
        <v>m()</v>
      </c>
    </row>
    <row r="112" spans="1:12" x14ac:dyDescent="0.35">
      <c r="A112" s="1">
        <f t="shared" si="1"/>
        <v>23</v>
      </c>
      <c r="B112" s="1" t="s">
        <v>3</v>
      </c>
      <c r="C112" s="1">
        <f>INDEX(fields[column],MATCH(games[[#This Row],[field]],fields[field],0))</f>
        <v>1</v>
      </c>
      <c r="D112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12" s="40" t="str">
        <f ca="1">IF(LEN(games[[#This Row],[pair]])=3,MID(games[[#This Row],[pair]],2,1),"")</f>
        <v/>
      </c>
      <c r="F112" s="1">
        <f t="array" ref="F112">MATCH(1,(pages!$A$1:$A$957=games[[#This Row],[r]])*(pages!$B$1:$B$957=games[[#This Row],[field]]),0)</f>
        <v>124</v>
      </c>
      <c r="G112" s="1" t="b">
        <f>INDEX(pages!$L$1:$L$957,games[[#This Row],[ind]])</f>
        <v>0</v>
      </c>
      <c r="H112" s="1" t="str">
        <f ca="1">_xlfn.IFNA(IF(LEN(games[[#This Row],[pair]])=3,INDEX(teams[id],MATCH(LEFT(games[[#This Row],[pair]]),teams[char],0)),""),"")</f>
        <v/>
      </c>
      <c r="I112" s="1" t="str">
        <f ca="1">_xlfn.IFNA(IF(LEN(games[[#This Row],[pair]])=3,INDEX(teams[id],MATCH(RIGHT(games[[#This Row],[pair]]),teams[char],0)),""),"")</f>
        <v/>
      </c>
      <c r="J112" s="1" t="str">
        <f>IF(games[[#This Row],[played]],INDEX(pages!$I$1:$I$759,games[[#This Row],[ind]]),"")</f>
        <v/>
      </c>
      <c r="K112" s="1" t="str">
        <f>IF(games[[#This Row],[played]],INDEX(pages!$J$1:$J$759,games[[#This Row],[ind]]),"")</f>
        <v/>
      </c>
      <c r="L112" s="40" t="str">
        <f ca="1">INDEX(fields[char],MATCH(games[[#This Row],[field]],fields[field],0))&amp;IF(games[[#This Row],[tag]]="-","","("&amp;games[[#This Row],[tag]]&amp;")")</f>
        <v>p()</v>
      </c>
    </row>
    <row r="113" spans="1:12" x14ac:dyDescent="0.35">
      <c r="A113" s="1">
        <f t="shared" si="1"/>
        <v>23</v>
      </c>
      <c r="B113" s="1" t="s">
        <v>4</v>
      </c>
      <c r="C113" s="1">
        <f>INDEX(fields[column],MATCH(games[[#This Row],[field]],fields[field],0))</f>
        <v>2</v>
      </c>
      <c r="D113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13" s="40" t="str">
        <f ca="1">IF(LEN(games[[#This Row],[pair]])=3,MID(games[[#This Row],[pair]],2,1),"")</f>
        <v/>
      </c>
      <c r="F113" s="1">
        <f t="array" ref="F113">MATCH(1,(pages!$A$1:$A$957=games[[#This Row],[r]])*(pages!$B$1:$B$957=games[[#This Row],[field]]),0)</f>
        <v>125</v>
      </c>
      <c r="G113" s="1" t="b">
        <f>INDEX(pages!$L$1:$L$957,games[[#This Row],[ind]])</f>
        <v>0</v>
      </c>
      <c r="H113" s="1" t="str">
        <f ca="1">_xlfn.IFNA(IF(LEN(games[[#This Row],[pair]])=3,INDEX(teams[id],MATCH(LEFT(games[[#This Row],[pair]]),teams[char],0)),""),"")</f>
        <v/>
      </c>
      <c r="I113" s="1" t="str">
        <f ca="1">_xlfn.IFNA(IF(LEN(games[[#This Row],[pair]])=3,INDEX(teams[id],MATCH(RIGHT(games[[#This Row],[pair]]),teams[char],0)),""),"")</f>
        <v/>
      </c>
      <c r="J113" s="1" t="str">
        <f>IF(games[[#This Row],[played]],INDEX(pages!$I$1:$I$759,games[[#This Row],[ind]]),"")</f>
        <v/>
      </c>
      <c r="K113" s="1" t="str">
        <f>IF(games[[#This Row],[played]],INDEX(pages!$J$1:$J$759,games[[#This Row],[ind]]),"")</f>
        <v/>
      </c>
      <c r="L113" s="40" t="str">
        <f ca="1">INDEX(fields[char],MATCH(games[[#This Row],[field]],fields[field],0))&amp;IF(games[[#This Row],[tag]]="-","","("&amp;games[[#This Row],[tag]]&amp;")")</f>
        <v>p()</v>
      </c>
    </row>
    <row r="114" spans="1:12" x14ac:dyDescent="0.35">
      <c r="A114" s="1">
        <f t="shared" si="1"/>
        <v>23</v>
      </c>
      <c r="B114" s="1" t="s">
        <v>5</v>
      </c>
      <c r="C114" s="1">
        <f>INDEX(fields[column],MATCH(games[[#This Row],[field]],fields[field],0))</f>
        <v>3</v>
      </c>
      <c r="D114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14" s="40" t="str">
        <f ca="1">IF(LEN(games[[#This Row],[pair]])=3,MID(games[[#This Row],[pair]],2,1),"")</f>
        <v/>
      </c>
      <c r="F114" s="1">
        <f t="array" ref="F114">MATCH(1,(pages!$A$1:$A$957=games[[#This Row],[r]])*(pages!$B$1:$B$957=games[[#This Row],[field]]),0)</f>
        <v>126</v>
      </c>
      <c r="G114" s="1" t="b">
        <f>INDEX(pages!$L$1:$L$957,games[[#This Row],[ind]])</f>
        <v>0</v>
      </c>
      <c r="H114" s="1" t="str">
        <f ca="1">_xlfn.IFNA(IF(LEN(games[[#This Row],[pair]])=3,INDEX(teams[id],MATCH(LEFT(games[[#This Row],[pair]]),teams[char],0)),""),"")</f>
        <v/>
      </c>
      <c r="I114" s="1" t="str">
        <f ca="1">_xlfn.IFNA(IF(LEN(games[[#This Row],[pair]])=3,INDEX(teams[id],MATCH(RIGHT(games[[#This Row],[pair]]),teams[char],0)),""),"")</f>
        <v/>
      </c>
      <c r="J114" s="1" t="str">
        <f>IF(games[[#This Row],[played]],INDEX(pages!$I$1:$I$759,games[[#This Row],[ind]]),"")</f>
        <v/>
      </c>
      <c r="K114" s="1" t="str">
        <f>IF(games[[#This Row],[played]],INDEX(pages!$J$1:$J$759,games[[#This Row],[ind]]),"")</f>
        <v/>
      </c>
      <c r="L114" s="40" t="str">
        <f ca="1">INDEX(fields[char],MATCH(games[[#This Row],[field]],fields[field],0))&amp;IF(games[[#This Row],[tag]]="-","","("&amp;games[[#This Row],[tag]]&amp;")")</f>
        <v>k()</v>
      </c>
    </row>
    <row r="115" spans="1:12" x14ac:dyDescent="0.35">
      <c r="A115" s="1">
        <f t="shared" si="1"/>
        <v>23</v>
      </c>
      <c r="B115" s="1" t="s">
        <v>53</v>
      </c>
      <c r="C115" s="1">
        <f>INDEX(fields[column],MATCH(games[[#This Row],[field]],fields[field],0))</f>
        <v>4</v>
      </c>
      <c r="D115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15" s="40" t="str">
        <f ca="1">IF(LEN(games[[#This Row],[pair]])=3,MID(games[[#This Row],[pair]],2,1),"")</f>
        <v/>
      </c>
      <c r="F115" s="1">
        <f t="array" ref="F115">MATCH(1,(pages!$A$1:$A$957=games[[#This Row],[r]])*(pages!$B$1:$B$957=games[[#This Row],[field]]),0)</f>
        <v>127</v>
      </c>
      <c r="G115" s="1" t="b">
        <f>INDEX(pages!$L$1:$L$957,games[[#This Row],[ind]])</f>
        <v>0</v>
      </c>
      <c r="H115" s="1" t="str">
        <f ca="1">_xlfn.IFNA(IF(LEN(games[[#This Row],[pair]])=3,INDEX(teams[id],MATCH(LEFT(games[[#This Row],[pair]]),teams[char],0)),""),"")</f>
        <v/>
      </c>
      <c r="I115" s="1" t="str">
        <f ca="1">_xlfn.IFNA(IF(LEN(games[[#This Row],[pair]])=3,INDEX(teams[id],MATCH(RIGHT(games[[#This Row],[pair]]),teams[char],0)),""),"")</f>
        <v/>
      </c>
      <c r="J115" s="1" t="str">
        <f>IF(games[[#This Row],[played]],INDEX(pages!$I$1:$I$759,games[[#This Row],[ind]]),"")</f>
        <v/>
      </c>
      <c r="K115" s="1" t="str">
        <f>IF(games[[#This Row],[played]],INDEX(pages!$J$1:$J$759,games[[#This Row],[ind]]),"")</f>
        <v/>
      </c>
      <c r="L115" s="40" t="str">
        <f ca="1">INDEX(fields[char],MATCH(games[[#This Row],[field]],fields[field],0))&amp;IF(games[[#This Row],[tag]]="-","","("&amp;games[[#This Row],[tag]]&amp;")")</f>
        <v>v()</v>
      </c>
    </row>
    <row r="116" spans="1:12" x14ac:dyDescent="0.35">
      <c r="A116" s="1">
        <f t="shared" si="1"/>
        <v>23</v>
      </c>
      <c r="B116" s="1" t="s">
        <v>54</v>
      </c>
      <c r="C116" s="1">
        <f>INDEX(fields[column],MATCH(games[[#This Row],[field]],fields[field],0))</f>
        <v>5</v>
      </c>
      <c r="D116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16" s="40" t="str">
        <f ca="1">IF(LEN(games[[#This Row],[pair]])=3,MID(games[[#This Row],[pair]],2,1),"")</f>
        <v/>
      </c>
      <c r="F116" s="1">
        <f t="array" ref="F116">MATCH(1,(pages!$A$1:$A$957=games[[#This Row],[r]])*(pages!$B$1:$B$957=games[[#This Row],[field]]),0)</f>
        <v>128</v>
      </c>
      <c r="G116" s="1" t="b">
        <f>INDEX(pages!$L$1:$L$957,games[[#This Row],[ind]])</f>
        <v>0</v>
      </c>
      <c r="H116" s="1" t="str">
        <f ca="1">_xlfn.IFNA(IF(LEN(games[[#This Row],[pair]])=3,INDEX(teams[id],MATCH(LEFT(games[[#This Row],[pair]]),teams[char],0)),""),"")</f>
        <v/>
      </c>
      <c r="I116" s="1" t="str">
        <f ca="1">_xlfn.IFNA(IF(LEN(games[[#This Row],[pair]])=3,INDEX(teams[id],MATCH(RIGHT(games[[#This Row],[pair]]),teams[char],0)),""),"")</f>
        <v/>
      </c>
      <c r="J116" s="1" t="str">
        <f>IF(games[[#This Row],[played]],INDEX(pages!$I$1:$I$759,games[[#This Row],[ind]]),"")</f>
        <v/>
      </c>
      <c r="K116" s="1" t="str">
        <f>IF(games[[#This Row],[played]],INDEX(pages!$J$1:$J$759,games[[#This Row],[ind]]),"")</f>
        <v/>
      </c>
      <c r="L116" s="40" t="str">
        <f ca="1">INDEX(fields[char],MATCH(games[[#This Row],[field]],fields[field],0))&amp;IF(games[[#This Row],[tag]]="-","","("&amp;games[[#This Row],[tag]]&amp;")")</f>
        <v>m()</v>
      </c>
    </row>
    <row r="117" spans="1:12" x14ac:dyDescent="0.35">
      <c r="A117" s="1">
        <f t="shared" si="1"/>
        <v>24</v>
      </c>
      <c r="B117" s="1" t="s">
        <v>3</v>
      </c>
      <c r="C117" s="1">
        <f>INDEX(fields[column],MATCH(games[[#This Row],[field]],fields[field],0))</f>
        <v>1</v>
      </c>
      <c r="D117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17" s="40" t="str">
        <f ca="1">IF(LEN(games[[#This Row],[pair]])=3,MID(games[[#This Row],[pair]],2,1),"")</f>
        <v/>
      </c>
      <c r="F117" s="1">
        <f t="array" ref="F117">MATCH(1,(pages!$A$1:$A$957=games[[#This Row],[r]])*(pages!$B$1:$B$957=games[[#This Row],[field]]),0)</f>
        <v>129</v>
      </c>
      <c r="G117" s="1" t="b">
        <f>INDEX(pages!$L$1:$L$957,games[[#This Row],[ind]])</f>
        <v>0</v>
      </c>
      <c r="H117" s="1" t="str">
        <f ca="1">_xlfn.IFNA(IF(LEN(games[[#This Row],[pair]])=3,INDEX(teams[id],MATCH(LEFT(games[[#This Row],[pair]]),teams[char],0)),""),"")</f>
        <v/>
      </c>
      <c r="I117" s="1" t="str">
        <f ca="1">_xlfn.IFNA(IF(LEN(games[[#This Row],[pair]])=3,INDEX(teams[id],MATCH(RIGHT(games[[#This Row],[pair]]),teams[char],0)),""),"")</f>
        <v/>
      </c>
      <c r="J117" s="1" t="str">
        <f>IF(games[[#This Row],[played]],INDEX(pages!$I$1:$I$759,games[[#This Row],[ind]]),"")</f>
        <v/>
      </c>
      <c r="K117" s="1" t="str">
        <f>IF(games[[#This Row],[played]],INDEX(pages!$J$1:$J$759,games[[#This Row],[ind]]),"")</f>
        <v/>
      </c>
      <c r="L117" s="40" t="str">
        <f ca="1">INDEX(fields[char],MATCH(games[[#This Row],[field]],fields[field],0))&amp;IF(games[[#This Row],[tag]]="-","","("&amp;games[[#This Row],[tag]]&amp;")")</f>
        <v>p()</v>
      </c>
    </row>
    <row r="118" spans="1:12" x14ac:dyDescent="0.35">
      <c r="A118" s="1">
        <f t="shared" si="1"/>
        <v>24</v>
      </c>
      <c r="B118" s="1" t="s">
        <v>4</v>
      </c>
      <c r="C118" s="1">
        <f>INDEX(fields[column],MATCH(games[[#This Row],[field]],fields[field],0))</f>
        <v>2</v>
      </c>
      <c r="D118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18" s="40" t="str">
        <f ca="1">IF(LEN(games[[#This Row],[pair]])=3,MID(games[[#This Row],[pair]],2,1),"")</f>
        <v/>
      </c>
      <c r="F118" s="1">
        <f t="array" ref="F118">MATCH(1,(pages!$A$1:$A$957=games[[#This Row],[r]])*(pages!$B$1:$B$957=games[[#This Row],[field]]),0)</f>
        <v>130</v>
      </c>
      <c r="G118" s="1" t="b">
        <f>INDEX(pages!$L$1:$L$957,games[[#This Row],[ind]])</f>
        <v>0</v>
      </c>
      <c r="H118" s="1" t="str">
        <f ca="1">_xlfn.IFNA(IF(LEN(games[[#This Row],[pair]])=3,INDEX(teams[id],MATCH(LEFT(games[[#This Row],[pair]]),teams[char],0)),""),"")</f>
        <v/>
      </c>
      <c r="I118" s="1" t="str">
        <f ca="1">_xlfn.IFNA(IF(LEN(games[[#This Row],[pair]])=3,INDEX(teams[id],MATCH(RIGHT(games[[#This Row],[pair]]),teams[char],0)),""),"")</f>
        <v/>
      </c>
      <c r="J118" s="1" t="str">
        <f>IF(games[[#This Row],[played]],INDEX(pages!$I$1:$I$759,games[[#This Row],[ind]]),"")</f>
        <v/>
      </c>
      <c r="K118" s="1" t="str">
        <f>IF(games[[#This Row],[played]],INDEX(pages!$J$1:$J$759,games[[#This Row],[ind]]),"")</f>
        <v/>
      </c>
      <c r="L118" s="40" t="str">
        <f ca="1">INDEX(fields[char],MATCH(games[[#This Row],[field]],fields[field],0))&amp;IF(games[[#This Row],[tag]]="-","","("&amp;games[[#This Row],[tag]]&amp;")")</f>
        <v>p()</v>
      </c>
    </row>
    <row r="119" spans="1:12" x14ac:dyDescent="0.35">
      <c r="A119" s="1">
        <f t="shared" si="1"/>
        <v>24</v>
      </c>
      <c r="B119" s="1" t="s">
        <v>5</v>
      </c>
      <c r="C119" s="1">
        <f>INDEX(fields[column],MATCH(games[[#This Row],[field]],fields[field],0))</f>
        <v>3</v>
      </c>
      <c r="D119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19" s="40" t="str">
        <f ca="1">IF(LEN(games[[#This Row],[pair]])=3,MID(games[[#This Row],[pair]],2,1),"")</f>
        <v/>
      </c>
      <c r="F119" s="1">
        <f t="array" ref="F119">MATCH(1,(pages!$A$1:$A$957=games[[#This Row],[r]])*(pages!$B$1:$B$957=games[[#This Row],[field]]),0)</f>
        <v>131</v>
      </c>
      <c r="G119" s="1" t="b">
        <f>INDEX(pages!$L$1:$L$957,games[[#This Row],[ind]])</f>
        <v>0</v>
      </c>
      <c r="H119" s="1" t="str">
        <f ca="1">_xlfn.IFNA(IF(LEN(games[[#This Row],[pair]])=3,INDEX(teams[id],MATCH(LEFT(games[[#This Row],[pair]]),teams[char],0)),""),"")</f>
        <v/>
      </c>
      <c r="I119" s="1" t="str">
        <f ca="1">_xlfn.IFNA(IF(LEN(games[[#This Row],[pair]])=3,INDEX(teams[id],MATCH(RIGHT(games[[#This Row],[pair]]),teams[char],0)),""),"")</f>
        <v/>
      </c>
      <c r="J119" s="1" t="str">
        <f>IF(games[[#This Row],[played]],INDEX(pages!$I$1:$I$759,games[[#This Row],[ind]]),"")</f>
        <v/>
      </c>
      <c r="K119" s="1" t="str">
        <f>IF(games[[#This Row],[played]],INDEX(pages!$J$1:$J$759,games[[#This Row],[ind]]),"")</f>
        <v/>
      </c>
      <c r="L119" s="40" t="str">
        <f ca="1">INDEX(fields[char],MATCH(games[[#This Row],[field]],fields[field],0))&amp;IF(games[[#This Row],[tag]]="-","","("&amp;games[[#This Row],[tag]]&amp;")")</f>
        <v>k()</v>
      </c>
    </row>
    <row r="120" spans="1:12" x14ac:dyDescent="0.35">
      <c r="A120" s="1">
        <f t="shared" si="1"/>
        <v>24</v>
      </c>
      <c r="B120" s="1" t="s">
        <v>53</v>
      </c>
      <c r="C120" s="1">
        <f>INDEX(fields[column],MATCH(games[[#This Row],[field]],fields[field],0))</f>
        <v>4</v>
      </c>
      <c r="D120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20" s="40" t="str">
        <f ca="1">IF(LEN(games[[#This Row],[pair]])=3,MID(games[[#This Row],[pair]],2,1),"")</f>
        <v/>
      </c>
      <c r="F120" s="1">
        <f t="array" ref="F120">MATCH(1,(pages!$A$1:$A$957=games[[#This Row],[r]])*(pages!$B$1:$B$957=games[[#This Row],[field]]),0)</f>
        <v>132</v>
      </c>
      <c r="G120" s="1" t="b">
        <f>INDEX(pages!$L$1:$L$957,games[[#This Row],[ind]])</f>
        <v>0</v>
      </c>
      <c r="H120" s="1" t="str">
        <f ca="1">_xlfn.IFNA(IF(LEN(games[[#This Row],[pair]])=3,INDEX(teams[id],MATCH(LEFT(games[[#This Row],[pair]]),teams[char],0)),""),"")</f>
        <v/>
      </c>
      <c r="I120" s="1" t="str">
        <f ca="1">_xlfn.IFNA(IF(LEN(games[[#This Row],[pair]])=3,INDEX(teams[id],MATCH(RIGHT(games[[#This Row],[pair]]),teams[char],0)),""),"")</f>
        <v/>
      </c>
      <c r="J120" s="1" t="str">
        <f>IF(games[[#This Row],[played]],INDEX(pages!$I$1:$I$759,games[[#This Row],[ind]]),"")</f>
        <v/>
      </c>
      <c r="K120" s="1" t="str">
        <f>IF(games[[#This Row],[played]],INDEX(pages!$J$1:$J$759,games[[#This Row],[ind]]),"")</f>
        <v/>
      </c>
      <c r="L120" s="40" t="str">
        <f ca="1">INDEX(fields[char],MATCH(games[[#This Row],[field]],fields[field],0))&amp;IF(games[[#This Row],[tag]]="-","","("&amp;games[[#This Row],[tag]]&amp;")")</f>
        <v>v()</v>
      </c>
    </row>
    <row r="121" spans="1:12" x14ac:dyDescent="0.35">
      <c r="A121" s="1">
        <f t="shared" si="1"/>
        <v>24</v>
      </c>
      <c r="B121" s="1" t="s">
        <v>54</v>
      </c>
      <c r="C121" s="1">
        <f>INDEX(fields[column],MATCH(games[[#This Row],[field]],fields[field],0))</f>
        <v>5</v>
      </c>
      <c r="D121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21" s="40" t="str">
        <f ca="1">IF(LEN(games[[#This Row],[pair]])=3,MID(games[[#This Row],[pair]],2,1),"")</f>
        <v/>
      </c>
      <c r="F121" s="1">
        <f t="array" ref="F121">MATCH(1,(pages!$A$1:$A$957=games[[#This Row],[r]])*(pages!$B$1:$B$957=games[[#This Row],[field]]),0)</f>
        <v>133</v>
      </c>
      <c r="G121" s="1" t="b">
        <f>INDEX(pages!$L$1:$L$957,games[[#This Row],[ind]])</f>
        <v>0</v>
      </c>
      <c r="H121" s="1" t="str">
        <f ca="1">_xlfn.IFNA(IF(LEN(games[[#This Row],[pair]])=3,INDEX(teams[id],MATCH(LEFT(games[[#This Row],[pair]]),teams[char],0)),""),"")</f>
        <v/>
      </c>
      <c r="I121" s="1" t="str">
        <f ca="1">_xlfn.IFNA(IF(LEN(games[[#This Row],[pair]])=3,INDEX(teams[id],MATCH(RIGHT(games[[#This Row],[pair]]),teams[char],0)),""),"")</f>
        <v/>
      </c>
      <c r="J121" s="1" t="str">
        <f>IF(games[[#This Row],[played]],INDEX(pages!$I$1:$I$759,games[[#This Row],[ind]]),"")</f>
        <v/>
      </c>
      <c r="K121" s="1" t="str">
        <f>IF(games[[#This Row],[played]],INDEX(pages!$J$1:$J$759,games[[#This Row],[ind]]),"")</f>
        <v/>
      </c>
      <c r="L121" s="40" t="str">
        <f ca="1">INDEX(fields[char],MATCH(games[[#This Row],[field]],fields[field],0))&amp;IF(games[[#This Row],[tag]]="-","","("&amp;games[[#This Row],[tag]]&amp;")")</f>
        <v>m()</v>
      </c>
    </row>
    <row r="122" spans="1:12" x14ac:dyDescent="0.35">
      <c r="A122" s="1">
        <f t="shared" si="1"/>
        <v>25</v>
      </c>
      <c r="B122" s="1" t="s">
        <v>3</v>
      </c>
      <c r="C122" s="1">
        <f>INDEX(fields[column],MATCH(games[[#This Row],[field]],fields[field],0))</f>
        <v>1</v>
      </c>
      <c r="D122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22" s="40" t="str">
        <f ca="1">IF(LEN(games[[#This Row],[pair]])=3,MID(games[[#This Row],[pair]],2,1),"")</f>
        <v/>
      </c>
      <c r="F122" s="1">
        <f t="array" ref="F122">MATCH(1,(pages!$A$1:$A$957=games[[#This Row],[r]])*(pages!$B$1:$B$957=games[[#This Row],[field]]),0)</f>
        <v>136</v>
      </c>
      <c r="G122" s="1" t="b">
        <f>INDEX(pages!$L$1:$L$957,games[[#This Row],[ind]])</f>
        <v>0</v>
      </c>
      <c r="H122" s="1" t="str">
        <f ca="1">_xlfn.IFNA(IF(LEN(games[[#This Row],[pair]])=3,INDEX(teams[id],MATCH(LEFT(games[[#This Row],[pair]]),teams[char],0)),""),"")</f>
        <v/>
      </c>
      <c r="I122" s="1" t="str">
        <f ca="1">_xlfn.IFNA(IF(LEN(games[[#This Row],[pair]])=3,INDEX(teams[id],MATCH(RIGHT(games[[#This Row],[pair]]),teams[char],0)),""),"")</f>
        <v/>
      </c>
      <c r="J122" s="1" t="str">
        <f>IF(games[[#This Row],[played]],INDEX(pages!$I$1:$I$759,games[[#This Row],[ind]]),"")</f>
        <v/>
      </c>
      <c r="K122" s="1" t="str">
        <f>IF(games[[#This Row],[played]],INDEX(pages!$J$1:$J$759,games[[#This Row],[ind]]),"")</f>
        <v/>
      </c>
      <c r="L122" s="40" t="str">
        <f ca="1">INDEX(fields[char],MATCH(games[[#This Row],[field]],fields[field],0))&amp;IF(games[[#This Row],[tag]]="-","","("&amp;games[[#This Row],[tag]]&amp;")")</f>
        <v>p()</v>
      </c>
    </row>
    <row r="123" spans="1:12" x14ac:dyDescent="0.35">
      <c r="A123" s="1">
        <f t="shared" si="1"/>
        <v>25</v>
      </c>
      <c r="B123" s="1" t="s">
        <v>4</v>
      </c>
      <c r="C123" s="1">
        <f>INDEX(fields[column],MATCH(games[[#This Row],[field]],fields[field],0))</f>
        <v>2</v>
      </c>
      <c r="D123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23" s="40" t="str">
        <f ca="1">IF(LEN(games[[#This Row],[pair]])=3,MID(games[[#This Row],[pair]],2,1),"")</f>
        <v/>
      </c>
      <c r="F123" s="1">
        <f t="array" ref="F123">MATCH(1,(pages!$A$1:$A$957=games[[#This Row],[r]])*(pages!$B$1:$B$957=games[[#This Row],[field]]),0)</f>
        <v>137</v>
      </c>
      <c r="G123" s="1" t="b">
        <f>INDEX(pages!$L$1:$L$957,games[[#This Row],[ind]])</f>
        <v>0</v>
      </c>
      <c r="H123" s="1" t="str">
        <f ca="1">_xlfn.IFNA(IF(LEN(games[[#This Row],[pair]])=3,INDEX(teams[id],MATCH(LEFT(games[[#This Row],[pair]]),teams[char],0)),""),"")</f>
        <v/>
      </c>
      <c r="I123" s="1" t="str">
        <f ca="1">_xlfn.IFNA(IF(LEN(games[[#This Row],[pair]])=3,INDEX(teams[id],MATCH(RIGHT(games[[#This Row],[pair]]),teams[char],0)),""),"")</f>
        <v/>
      </c>
      <c r="J123" s="1" t="str">
        <f>IF(games[[#This Row],[played]],INDEX(pages!$I$1:$I$759,games[[#This Row],[ind]]),"")</f>
        <v/>
      </c>
      <c r="K123" s="1" t="str">
        <f>IF(games[[#This Row],[played]],INDEX(pages!$J$1:$J$759,games[[#This Row],[ind]]),"")</f>
        <v/>
      </c>
      <c r="L123" s="40" t="str">
        <f ca="1">INDEX(fields[char],MATCH(games[[#This Row],[field]],fields[field],0))&amp;IF(games[[#This Row],[tag]]="-","","("&amp;games[[#This Row],[tag]]&amp;")")</f>
        <v>p()</v>
      </c>
    </row>
    <row r="124" spans="1:12" x14ac:dyDescent="0.35">
      <c r="A124" s="1">
        <f t="shared" si="1"/>
        <v>25</v>
      </c>
      <c r="B124" s="1" t="s">
        <v>5</v>
      </c>
      <c r="C124" s="1">
        <f>INDEX(fields[column],MATCH(games[[#This Row],[field]],fields[field],0))</f>
        <v>3</v>
      </c>
      <c r="D124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24" s="40" t="str">
        <f ca="1">IF(LEN(games[[#This Row],[pair]])=3,MID(games[[#This Row],[pair]],2,1),"")</f>
        <v/>
      </c>
      <c r="F124" s="1">
        <f t="array" ref="F124">MATCH(1,(pages!$A$1:$A$957=games[[#This Row],[r]])*(pages!$B$1:$B$957=games[[#This Row],[field]]),0)</f>
        <v>138</v>
      </c>
      <c r="G124" s="1" t="b">
        <f>INDEX(pages!$L$1:$L$957,games[[#This Row],[ind]])</f>
        <v>0</v>
      </c>
      <c r="H124" s="1" t="str">
        <f ca="1">_xlfn.IFNA(IF(LEN(games[[#This Row],[pair]])=3,INDEX(teams[id],MATCH(LEFT(games[[#This Row],[pair]]),teams[char],0)),""),"")</f>
        <v/>
      </c>
      <c r="I124" s="1" t="str">
        <f ca="1">_xlfn.IFNA(IF(LEN(games[[#This Row],[pair]])=3,INDEX(teams[id],MATCH(RIGHT(games[[#This Row],[pair]]),teams[char],0)),""),"")</f>
        <v/>
      </c>
      <c r="J124" s="1" t="str">
        <f>IF(games[[#This Row],[played]],INDEX(pages!$I$1:$I$759,games[[#This Row],[ind]]),"")</f>
        <v/>
      </c>
      <c r="K124" s="1" t="str">
        <f>IF(games[[#This Row],[played]],INDEX(pages!$J$1:$J$759,games[[#This Row],[ind]]),"")</f>
        <v/>
      </c>
      <c r="L124" s="40" t="str">
        <f ca="1">INDEX(fields[char],MATCH(games[[#This Row],[field]],fields[field],0))&amp;IF(games[[#This Row],[tag]]="-","","("&amp;games[[#This Row],[tag]]&amp;")")</f>
        <v>k()</v>
      </c>
    </row>
    <row r="125" spans="1:12" x14ac:dyDescent="0.35">
      <c r="A125" s="1">
        <f t="shared" si="1"/>
        <v>25</v>
      </c>
      <c r="B125" s="1" t="s">
        <v>53</v>
      </c>
      <c r="C125" s="1">
        <f>INDEX(fields[column],MATCH(games[[#This Row],[field]],fields[field],0))</f>
        <v>4</v>
      </c>
      <c r="D125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25" s="40" t="str">
        <f ca="1">IF(LEN(games[[#This Row],[pair]])=3,MID(games[[#This Row],[pair]],2,1),"")</f>
        <v/>
      </c>
      <c r="F125" s="1">
        <f t="array" ref="F125">MATCH(1,(pages!$A$1:$A$957=games[[#This Row],[r]])*(pages!$B$1:$B$957=games[[#This Row],[field]]),0)</f>
        <v>139</v>
      </c>
      <c r="G125" s="1" t="b">
        <f>INDEX(pages!$L$1:$L$957,games[[#This Row],[ind]])</f>
        <v>0</v>
      </c>
      <c r="H125" s="1" t="str">
        <f ca="1">_xlfn.IFNA(IF(LEN(games[[#This Row],[pair]])=3,INDEX(teams[id],MATCH(LEFT(games[[#This Row],[pair]]),teams[char],0)),""),"")</f>
        <v/>
      </c>
      <c r="I125" s="1" t="str">
        <f ca="1">_xlfn.IFNA(IF(LEN(games[[#This Row],[pair]])=3,INDEX(teams[id],MATCH(RIGHT(games[[#This Row],[pair]]),teams[char],0)),""),"")</f>
        <v/>
      </c>
      <c r="J125" s="1" t="str">
        <f>IF(games[[#This Row],[played]],INDEX(pages!$I$1:$I$759,games[[#This Row],[ind]]),"")</f>
        <v/>
      </c>
      <c r="K125" s="1" t="str">
        <f>IF(games[[#This Row],[played]],INDEX(pages!$J$1:$J$759,games[[#This Row],[ind]]),"")</f>
        <v/>
      </c>
      <c r="L125" s="40" t="str">
        <f ca="1">INDEX(fields[char],MATCH(games[[#This Row],[field]],fields[field],0))&amp;IF(games[[#This Row],[tag]]="-","","("&amp;games[[#This Row],[tag]]&amp;")")</f>
        <v>v()</v>
      </c>
    </row>
    <row r="126" spans="1:12" x14ac:dyDescent="0.35">
      <c r="A126" s="1">
        <f t="shared" si="1"/>
        <v>25</v>
      </c>
      <c r="B126" s="1" t="s">
        <v>54</v>
      </c>
      <c r="C126" s="1">
        <f>INDEX(fields[column],MATCH(games[[#This Row],[field]],fields[field],0))</f>
        <v>5</v>
      </c>
      <c r="D126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26" s="40" t="str">
        <f ca="1">IF(LEN(games[[#This Row],[pair]])=3,MID(games[[#This Row],[pair]],2,1),"")</f>
        <v/>
      </c>
      <c r="F126" s="1">
        <f t="array" ref="F126">MATCH(1,(pages!$A$1:$A$957=games[[#This Row],[r]])*(pages!$B$1:$B$957=games[[#This Row],[field]]),0)</f>
        <v>140</v>
      </c>
      <c r="G126" s="1" t="b">
        <f>INDEX(pages!$L$1:$L$957,games[[#This Row],[ind]])</f>
        <v>0</v>
      </c>
      <c r="H126" s="1" t="str">
        <f ca="1">_xlfn.IFNA(IF(LEN(games[[#This Row],[pair]])=3,INDEX(teams[id],MATCH(LEFT(games[[#This Row],[pair]]),teams[char],0)),""),"")</f>
        <v/>
      </c>
      <c r="I126" s="1" t="str">
        <f ca="1">_xlfn.IFNA(IF(LEN(games[[#This Row],[pair]])=3,INDEX(teams[id],MATCH(RIGHT(games[[#This Row],[pair]]),teams[char],0)),""),"")</f>
        <v/>
      </c>
      <c r="J126" s="1" t="str">
        <f>IF(games[[#This Row],[played]],INDEX(pages!$I$1:$I$759,games[[#This Row],[ind]]),"")</f>
        <v/>
      </c>
      <c r="K126" s="1" t="str">
        <f>IF(games[[#This Row],[played]],INDEX(pages!$J$1:$J$759,games[[#This Row],[ind]]),"")</f>
        <v/>
      </c>
      <c r="L126" s="40" t="str">
        <f ca="1">INDEX(fields[char],MATCH(games[[#This Row],[field]],fields[field],0))&amp;IF(games[[#This Row],[tag]]="-","","("&amp;games[[#This Row],[tag]]&amp;")")</f>
        <v>m()</v>
      </c>
    </row>
    <row r="127" spans="1:12" x14ac:dyDescent="0.35">
      <c r="A127" s="1">
        <f t="shared" si="1"/>
        <v>26</v>
      </c>
      <c r="B127" s="1" t="s">
        <v>3</v>
      </c>
      <c r="C127" s="1">
        <f>INDEX(fields[column],MATCH(games[[#This Row],[field]],fields[field],0))</f>
        <v>1</v>
      </c>
      <c r="D127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27" s="40" t="str">
        <f ca="1">IF(LEN(games[[#This Row],[pair]])=3,MID(games[[#This Row],[pair]],2,1),"")</f>
        <v/>
      </c>
      <c r="F127" s="1">
        <f t="array" ref="F127">MATCH(1,(pages!$A$1:$A$957=games[[#This Row],[r]])*(pages!$B$1:$B$957=games[[#This Row],[field]]),0)</f>
        <v>141</v>
      </c>
      <c r="G127" s="1" t="b">
        <f>INDEX(pages!$L$1:$L$957,games[[#This Row],[ind]])</f>
        <v>0</v>
      </c>
      <c r="H127" s="1" t="str">
        <f ca="1">_xlfn.IFNA(IF(LEN(games[[#This Row],[pair]])=3,INDEX(teams[id],MATCH(LEFT(games[[#This Row],[pair]]),teams[char],0)),""),"")</f>
        <v/>
      </c>
      <c r="I127" s="1" t="str">
        <f ca="1">_xlfn.IFNA(IF(LEN(games[[#This Row],[pair]])=3,INDEX(teams[id],MATCH(RIGHT(games[[#This Row],[pair]]),teams[char],0)),""),"")</f>
        <v/>
      </c>
      <c r="J127" s="1" t="str">
        <f>IF(games[[#This Row],[played]],INDEX(pages!$I$1:$I$759,games[[#This Row],[ind]]),"")</f>
        <v/>
      </c>
      <c r="K127" s="1" t="str">
        <f>IF(games[[#This Row],[played]],INDEX(pages!$J$1:$J$759,games[[#This Row],[ind]]),"")</f>
        <v/>
      </c>
      <c r="L127" s="40" t="str">
        <f ca="1">INDEX(fields[char],MATCH(games[[#This Row],[field]],fields[field],0))&amp;IF(games[[#This Row],[tag]]="-","","("&amp;games[[#This Row],[tag]]&amp;")")</f>
        <v>p()</v>
      </c>
    </row>
    <row r="128" spans="1:12" x14ac:dyDescent="0.35">
      <c r="A128" s="1">
        <f t="shared" si="1"/>
        <v>26</v>
      </c>
      <c r="B128" s="1" t="s">
        <v>4</v>
      </c>
      <c r="C128" s="1">
        <f>INDEX(fields[column],MATCH(games[[#This Row],[field]],fields[field],0))</f>
        <v>2</v>
      </c>
      <c r="D128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28" s="40" t="str">
        <f ca="1">IF(LEN(games[[#This Row],[pair]])=3,MID(games[[#This Row],[pair]],2,1),"")</f>
        <v/>
      </c>
      <c r="F128" s="1">
        <f t="array" ref="F128">MATCH(1,(pages!$A$1:$A$957=games[[#This Row],[r]])*(pages!$B$1:$B$957=games[[#This Row],[field]]),0)</f>
        <v>142</v>
      </c>
      <c r="G128" s="1" t="b">
        <f>INDEX(pages!$L$1:$L$957,games[[#This Row],[ind]])</f>
        <v>0</v>
      </c>
      <c r="H128" s="1" t="str">
        <f ca="1">_xlfn.IFNA(IF(LEN(games[[#This Row],[pair]])=3,INDEX(teams[id],MATCH(LEFT(games[[#This Row],[pair]]),teams[char],0)),""),"")</f>
        <v/>
      </c>
      <c r="I128" s="1" t="str">
        <f ca="1">_xlfn.IFNA(IF(LEN(games[[#This Row],[pair]])=3,INDEX(teams[id],MATCH(RIGHT(games[[#This Row],[pair]]),teams[char],0)),""),"")</f>
        <v/>
      </c>
      <c r="J128" s="1" t="str">
        <f>IF(games[[#This Row],[played]],INDEX(pages!$I$1:$I$759,games[[#This Row],[ind]]),"")</f>
        <v/>
      </c>
      <c r="K128" s="1" t="str">
        <f>IF(games[[#This Row],[played]],INDEX(pages!$J$1:$J$759,games[[#This Row],[ind]]),"")</f>
        <v/>
      </c>
      <c r="L128" s="40" t="str">
        <f ca="1">INDEX(fields[char],MATCH(games[[#This Row],[field]],fields[field],0))&amp;IF(games[[#This Row],[tag]]="-","","("&amp;games[[#This Row],[tag]]&amp;")")</f>
        <v>p()</v>
      </c>
    </row>
    <row r="129" spans="1:12" x14ac:dyDescent="0.35">
      <c r="A129" s="1">
        <f t="shared" si="1"/>
        <v>26</v>
      </c>
      <c r="B129" s="1" t="s">
        <v>5</v>
      </c>
      <c r="C129" s="1">
        <f>INDEX(fields[column],MATCH(games[[#This Row],[field]],fields[field],0))</f>
        <v>3</v>
      </c>
      <c r="D129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29" s="40" t="str">
        <f ca="1">IF(LEN(games[[#This Row],[pair]])=3,MID(games[[#This Row],[pair]],2,1),"")</f>
        <v/>
      </c>
      <c r="F129" s="1">
        <f t="array" ref="F129">MATCH(1,(pages!$A$1:$A$957=games[[#This Row],[r]])*(pages!$B$1:$B$957=games[[#This Row],[field]]),0)</f>
        <v>143</v>
      </c>
      <c r="G129" s="1" t="b">
        <f>INDEX(pages!$L$1:$L$957,games[[#This Row],[ind]])</f>
        <v>0</v>
      </c>
      <c r="H129" s="1" t="str">
        <f ca="1">_xlfn.IFNA(IF(LEN(games[[#This Row],[pair]])=3,INDEX(teams[id],MATCH(LEFT(games[[#This Row],[pair]]),teams[char],0)),""),"")</f>
        <v/>
      </c>
      <c r="I129" s="1" t="str">
        <f ca="1">_xlfn.IFNA(IF(LEN(games[[#This Row],[pair]])=3,INDEX(teams[id],MATCH(RIGHT(games[[#This Row],[pair]]),teams[char],0)),""),"")</f>
        <v/>
      </c>
      <c r="J129" s="1" t="str">
        <f>IF(games[[#This Row],[played]],INDEX(pages!$I$1:$I$759,games[[#This Row],[ind]]),"")</f>
        <v/>
      </c>
      <c r="K129" s="1" t="str">
        <f>IF(games[[#This Row],[played]],INDEX(pages!$J$1:$J$759,games[[#This Row],[ind]]),"")</f>
        <v/>
      </c>
      <c r="L129" s="40" t="str">
        <f ca="1">INDEX(fields[char],MATCH(games[[#This Row],[field]],fields[field],0))&amp;IF(games[[#This Row],[tag]]="-","","("&amp;games[[#This Row],[tag]]&amp;")")</f>
        <v>k()</v>
      </c>
    </row>
    <row r="130" spans="1:12" x14ac:dyDescent="0.35">
      <c r="A130" s="1">
        <f t="shared" si="1"/>
        <v>26</v>
      </c>
      <c r="B130" s="1" t="s">
        <v>53</v>
      </c>
      <c r="C130" s="1">
        <f>INDEX(fields[column],MATCH(games[[#This Row],[field]],fields[field],0))</f>
        <v>4</v>
      </c>
      <c r="D130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30" s="40" t="str">
        <f ca="1">IF(LEN(games[[#This Row],[pair]])=3,MID(games[[#This Row],[pair]],2,1),"")</f>
        <v/>
      </c>
      <c r="F130" s="1">
        <f t="array" ref="F130">MATCH(1,(pages!$A$1:$A$957=games[[#This Row],[r]])*(pages!$B$1:$B$957=games[[#This Row],[field]]),0)</f>
        <v>144</v>
      </c>
      <c r="G130" s="1" t="b">
        <f>INDEX(pages!$L$1:$L$957,games[[#This Row],[ind]])</f>
        <v>0</v>
      </c>
      <c r="H130" s="1" t="str">
        <f ca="1">_xlfn.IFNA(IF(LEN(games[[#This Row],[pair]])=3,INDEX(teams[id],MATCH(LEFT(games[[#This Row],[pair]]),teams[char],0)),""),"")</f>
        <v/>
      </c>
      <c r="I130" s="1" t="str">
        <f ca="1">_xlfn.IFNA(IF(LEN(games[[#This Row],[pair]])=3,INDEX(teams[id],MATCH(RIGHT(games[[#This Row],[pair]]),teams[char],0)),""),"")</f>
        <v/>
      </c>
      <c r="J130" s="1" t="str">
        <f>IF(games[[#This Row],[played]],INDEX(pages!$I$1:$I$759,games[[#This Row],[ind]]),"")</f>
        <v/>
      </c>
      <c r="K130" s="1" t="str">
        <f>IF(games[[#This Row],[played]],INDEX(pages!$J$1:$J$759,games[[#This Row],[ind]]),"")</f>
        <v/>
      </c>
      <c r="L130" s="40" t="str">
        <f ca="1">INDEX(fields[char],MATCH(games[[#This Row],[field]],fields[field],0))&amp;IF(games[[#This Row],[tag]]="-","","("&amp;games[[#This Row],[tag]]&amp;")")</f>
        <v>v()</v>
      </c>
    </row>
    <row r="131" spans="1:12" x14ac:dyDescent="0.35">
      <c r="A131" s="1">
        <f t="shared" si="1"/>
        <v>26</v>
      </c>
      <c r="B131" s="1" t="s">
        <v>54</v>
      </c>
      <c r="C131" s="1">
        <f>INDEX(fields[column],MATCH(games[[#This Row],[field]],fields[field],0))</f>
        <v>5</v>
      </c>
      <c r="D131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31" s="40" t="str">
        <f ca="1">IF(LEN(games[[#This Row],[pair]])=3,MID(games[[#This Row],[pair]],2,1),"")</f>
        <v/>
      </c>
      <c r="F131" s="1">
        <f t="array" ref="F131">MATCH(1,(pages!$A$1:$A$957=games[[#This Row],[r]])*(pages!$B$1:$B$957=games[[#This Row],[field]]),0)</f>
        <v>145</v>
      </c>
      <c r="G131" s="1" t="b">
        <f>INDEX(pages!$L$1:$L$957,games[[#This Row],[ind]])</f>
        <v>0</v>
      </c>
      <c r="H131" s="1" t="str">
        <f ca="1">_xlfn.IFNA(IF(LEN(games[[#This Row],[pair]])=3,INDEX(teams[id],MATCH(LEFT(games[[#This Row],[pair]]),teams[char],0)),""),"")</f>
        <v/>
      </c>
      <c r="I131" s="1" t="str">
        <f ca="1">_xlfn.IFNA(IF(LEN(games[[#This Row],[pair]])=3,INDEX(teams[id],MATCH(RIGHT(games[[#This Row],[pair]]),teams[char],0)),""),"")</f>
        <v/>
      </c>
      <c r="J131" s="1" t="str">
        <f>IF(games[[#This Row],[played]],INDEX(pages!$I$1:$I$759,games[[#This Row],[ind]]),"")</f>
        <v/>
      </c>
      <c r="K131" s="1" t="str">
        <f>IF(games[[#This Row],[played]],INDEX(pages!$J$1:$J$759,games[[#This Row],[ind]]),"")</f>
        <v/>
      </c>
      <c r="L131" s="40" t="str">
        <f ca="1">INDEX(fields[char],MATCH(games[[#This Row],[field]],fields[field],0))&amp;IF(games[[#This Row],[tag]]="-","","("&amp;games[[#This Row],[tag]]&amp;")")</f>
        <v>m()</v>
      </c>
    </row>
    <row r="132" spans="1:12" x14ac:dyDescent="0.35">
      <c r="A132" s="1">
        <f t="shared" si="1"/>
        <v>27</v>
      </c>
      <c r="B132" s="1" t="s">
        <v>3</v>
      </c>
      <c r="C132" s="1">
        <f>INDEX(fields[column],MATCH(games[[#This Row],[field]],fields[field],0))</f>
        <v>1</v>
      </c>
      <c r="D132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32" s="40" t="str">
        <f ca="1">IF(LEN(games[[#This Row],[pair]])=3,MID(games[[#This Row],[pair]],2,1),"")</f>
        <v/>
      </c>
      <c r="F132" s="1">
        <f t="array" ref="F132">MATCH(1,(pages!$A$1:$A$957=games[[#This Row],[r]])*(pages!$B$1:$B$957=games[[#This Row],[field]]),0)</f>
        <v>146</v>
      </c>
      <c r="G132" s="1" t="b">
        <f>INDEX(pages!$L$1:$L$957,games[[#This Row],[ind]])</f>
        <v>0</v>
      </c>
      <c r="H132" s="1" t="str">
        <f ca="1">_xlfn.IFNA(IF(LEN(games[[#This Row],[pair]])=3,INDEX(teams[id],MATCH(LEFT(games[[#This Row],[pair]]),teams[char],0)),""),"")</f>
        <v/>
      </c>
      <c r="I132" s="1" t="str">
        <f ca="1">_xlfn.IFNA(IF(LEN(games[[#This Row],[pair]])=3,INDEX(teams[id],MATCH(RIGHT(games[[#This Row],[pair]]),teams[char],0)),""),"")</f>
        <v/>
      </c>
      <c r="J132" s="1" t="str">
        <f>IF(games[[#This Row],[played]],INDEX(pages!$I$1:$I$759,games[[#This Row],[ind]]),"")</f>
        <v/>
      </c>
      <c r="K132" s="1" t="str">
        <f>IF(games[[#This Row],[played]],INDEX(pages!$J$1:$J$759,games[[#This Row],[ind]]),"")</f>
        <v/>
      </c>
      <c r="L132" s="40" t="str">
        <f ca="1">INDEX(fields[char],MATCH(games[[#This Row],[field]],fields[field],0))&amp;IF(games[[#This Row],[tag]]="-","","("&amp;games[[#This Row],[tag]]&amp;")")</f>
        <v>p()</v>
      </c>
    </row>
    <row r="133" spans="1:12" x14ac:dyDescent="0.35">
      <c r="A133" s="1">
        <f t="shared" si="1"/>
        <v>27</v>
      </c>
      <c r="B133" s="1" t="s">
        <v>4</v>
      </c>
      <c r="C133" s="1">
        <f>INDEX(fields[column],MATCH(games[[#This Row],[field]],fields[field],0))</f>
        <v>2</v>
      </c>
      <c r="D133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33" s="40" t="str">
        <f ca="1">IF(LEN(games[[#This Row],[pair]])=3,MID(games[[#This Row],[pair]],2,1),"")</f>
        <v/>
      </c>
      <c r="F133" s="1">
        <f t="array" ref="F133">MATCH(1,(pages!$A$1:$A$957=games[[#This Row],[r]])*(pages!$B$1:$B$957=games[[#This Row],[field]]),0)</f>
        <v>147</v>
      </c>
      <c r="G133" s="1" t="b">
        <f>INDEX(pages!$L$1:$L$957,games[[#This Row],[ind]])</f>
        <v>0</v>
      </c>
      <c r="H133" s="1" t="str">
        <f ca="1">_xlfn.IFNA(IF(LEN(games[[#This Row],[pair]])=3,INDEX(teams[id],MATCH(LEFT(games[[#This Row],[pair]]),teams[char],0)),""),"")</f>
        <v/>
      </c>
      <c r="I133" s="1" t="str">
        <f ca="1">_xlfn.IFNA(IF(LEN(games[[#This Row],[pair]])=3,INDEX(teams[id],MATCH(RIGHT(games[[#This Row],[pair]]),teams[char],0)),""),"")</f>
        <v/>
      </c>
      <c r="J133" s="1" t="str">
        <f>IF(games[[#This Row],[played]],INDEX(pages!$I$1:$I$759,games[[#This Row],[ind]]),"")</f>
        <v/>
      </c>
      <c r="K133" s="1" t="str">
        <f>IF(games[[#This Row],[played]],INDEX(pages!$J$1:$J$759,games[[#This Row],[ind]]),"")</f>
        <v/>
      </c>
      <c r="L133" s="40" t="str">
        <f ca="1">INDEX(fields[char],MATCH(games[[#This Row],[field]],fields[field],0))&amp;IF(games[[#This Row],[tag]]="-","","("&amp;games[[#This Row],[tag]]&amp;")")</f>
        <v>p()</v>
      </c>
    </row>
    <row r="134" spans="1:12" x14ac:dyDescent="0.35">
      <c r="A134" s="1">
        <f t="shared" si="1"/>
        <v>27</v>
      </c>
      <c r="B134" s="1" t="s">
        <v>5</v>
      </c>
      <c r="C134" s="1">
        <f>INDEX(fields[column],MATCH(games[[#This Row],[field]],fields[field],0))</f>
        <v>3</v>
      </c>
      <c r="D134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34" s="40" t="str">
        <f ca="1">IF(LEN(games[[#This Row],[pair]])=3,MID(games[[#This Row],[pair]],2,1),"")</f>
        <v/>
      </c>
      <c r="F134" s="1">
        <f t="array" ref="F134">MATCH(1,(pages!$A$1:$A$957=games[[#This Row],[r]])*(pages!$B$1:$B$957=games[[#This Row],[field]]),0)</f>
        <v>148</v>
      </c>
      <c r="G134" s="1" t="b">
        <f>INDEX(pages!$L$1:$L$957,games[[#This Row],[ind]])</f>
        <v>0</v>
      </c>
      <c r="H134" s="1" t="str">
        <f ca="1">_xlfn.IFNA(IF(LEN(games[[#This Row],[pair]])=3,INDEX(teams[id],MATCH(LEFT(games[[#This Row],[pair]]),teams[char],0)),""),"")</f>
        <v/>
      </c>
      <c r="I134" s="1" t="str">
        <f ca="1">_xlfn.IFNA(IF(LEN(games[[#This Row],[pair]])=3,INDEX(teams[id],MATCH(RIGHT(games[[#This Row],[pair]]),teams[char],0)),""),"")</f>
        <v/>
      </c>
      <c r="J134" s="1" t="str">
        <f>IF(games[[#This Row],[played]],INDEX(pages!$I$1:$I$759,games[[#This Row],[ind]]),"")</f>
        <v/>
      </c>
      <c r="K134" s="1" t="str">
        <f>IF(games[[#This Row],[played]],INDEX(pages!$J$1:$J$759,games[[#This Row],[ind]]),"")</f>
        <v/>
      </c>
      <c r="L134" s="40" t="str">
        <f ca="1">INDEX(fields[char],MATCH(games[[#This Row],[field]],fields[field],0))&amp;IF(games[[#This Row],[tag]]="-","","("&amp;games[[#This Row],[tag]]&amp;")")</f>
        <v>k()</v>
      </c>
    </row>
    <row r="135" spans="1:12" x14ac:dyDescent="0.35">
      <c r="A135" s="1">
        <f t="shared" si="1"/>
        <v>27</v>
      </c>
      <c r="B135" s="1" t="s">
        <v>53</v>
      </c>
      <c r="C135" s="1">
        <f>INDEX(fields[column],MATCH(games[[#This Row],[field]],fields[field],0))</f>
        <v>4</v>
      </c>
      <c r="D135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35" s="40" t="str">
        <f ca="1">IF(LEN(games[[#This Row],[pair]])=3,MID(games[[#This Row],[pair]],2,1),"")</f>
        <v/>
      </c>
      <c r="F135" s="1">
        <f t="array" ref="F135">MATCH(1,(pages!$A$1:$A$957=games[[#This Row],[r]])*(pages!$B$1:$B$957=games[[#This Row],[field]]),0)</f>
        <v>149</v>
      </c>
      <c r="G135" s="1" t="b">
        <f>INDEX(pages!$L$1:$L$957,games[[#This Row],[ind]])</f>
        <v>0</v>
      </c>
      <c r="H135" s="1" t="str">
        <f ca="1">_xlfn.IFNA(IF(LEN(games[[#This Row],[pair]])=3,INDEX(teams[id],MATCH(LEFT(games[[#This Row],[pair]]),teams[char],0)),""),"")</f>
        <v/>
      </c>
      <c r="I135" s="1" t="str">
        <f ca="1">_xlfn.IFNA(IF(LEN(games[[#This Row],[pair]])=3,INDEX(teams[id],MATCH(RIGHT(games[[#This Row],[pair]]),teams[char],0)),""),"")</f>
        <v/>
      </c>
      <c r="J135" s="1" t="str">
        <f>IF(games[[#This Row],[played]],INDEX(pages!$I$1:$I$759,games[[#This Row],[ind]]),"")</f>
        <v/>
      </c>
      <c r="K135" s="1" t="str">
        <f>IF(games[[#This Row],[played]],INDEX(pages!$J$1:$J$759,games[[#This Row],[ind]]),"")</f>
        <v/>
      </c>
      <c r="L135" s="40" t="str">
        <f ca="1">INDEX(fields[char],MATCH(games[[#This Row],[field]],fields[field],0))&amp;IF(games[[#This Row],[tag]]="-","","("&amp;games[[#This Row],[tag]]&amp;")")</f>
        <v>v()</v>
      </c>
    </row>
    <row r="136" spans="1:12" x14ac:dyDescent="0.35">
      <c r="A136" s="1">
        <f t="shared" ref="A136:A171" si="2">A131+1</f>
        <v>27</v>
      </c>
      <c r="B136" s="1" t="s">
        <v>54</v>
      </c>
      <c r="C136" s="1">
        <f>INDEX(fields[column],MATCH(games[[#This Row],[field]],fields[field],0))</f>
        <v>5</v>
      </c>
      <c r="D136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36" s="40" t="str">
        <f ca="1">IF(LEN(games[[#This Row],[pair]])=3,MID(games[[#This Row],[pair]],2,1),"")</f>
        <v/>
      </c>
      <c r="F136" s="1">
        <f t="array" ref="F136">MATCH(1,(pages!$A$1:$A$957=games[[#This Row],[r]])*(pages!$B$1:$B$957=games[[#This Row],[field]]),0)</f>
        <v>150</v>
      </c>
      <c r="G136" s="1" t="b">
        <f>INDEX(pages!$L$1:$L$957,games[[#This Row],[ind]])</f>
        <v>0</v>
      </c>
      <c r="H136" s="1" t="str">
        <f ca="1">_xlfn.IFNA(IF(LEN(games[[#This Row],[pair]])=3,INDEX(teams[id],MATCH(LEFT(games[[#This Row],[pair]]),teams[char],0)),""),"")</f>
        <v/>
      </c>
      <c r="I136" s="1" t="str">
        <f ca="1">_xlfn.IFNA(IF(LEN(games[[#This Row],[pair]])=3,INDEX(teams[id],MATCH(RIGHT(games[[#This Row],[pair]]),teams[char],0)),""),"")</f>
        <v/>
      </c>
      <c r="J136" s="1" t="str">
        <f>IF(games[[#This Row],[played]],INDEX(pages!$I$1:$I$759,games[[#This Row],[ind]]),"")</f>
        <v/>
      </c>
      <c r="K136" s="1" t="str">
        <f>IF(games[[#This Row],[played]],INDEX(pages!$J$1:$J$759,games[[#This Row],[ind]]),"")</f>
        <v/>
      </c>
      <c r="L136" s="40" t="str">
        <f ca="1">INDEX(fields[char],MATCH(games[[#This Row],[field]],fields[field],0))&amp;IF(games[[#This Row],[tag]]="-","","("&amp;games[[#This Row],[tag]]&amp;")")</f>
        <v>m()</v>
      </c>
    </row>
    <row r="137" spans="1:12" x14ac:dyDescent="0.35">
      <c r="A137" s="1">
        <f t="shared" si="2"/>
        <v>28</v>
      </c>
      <c r="B137" s="1" t="s">
        <v>3</v>
      </c>
      <c r="C137" s="1">
        <f>INDEX(fields[column],MATCH(games[[#This Row],[field]],fields[field],0))</f>
        <v>1</v>
      </c>
      <c r="D137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37" s="40" t="str">
        <f ca="1">IF(LEN(games[[#This Row],[pair]])=3,MID(games[[#This Row],[pair]],2,1),"")</f>
        <v/>
      </c>
      <c r="F137" s="1">
        <f t="array" ref="F137">MATCH(1,(pages!$A$1:$A$957=games[[#This Row],[r]])*(pages!$B$1:$B$957=games[[#This Row],[field]]),0)</f>
        <v>151</v>
      </c>
      <c r="G137" s="1" t="b">
        <f>INDEX(pages!$L$1:$L$957,games[[#This Row],[ind]])</f>
        <v>0</v>
      </c>
      <c r="H137" s="1" t="str">
        <f ca="1">_xlfn.IFNA(IF(LEN(games[[#This Row],[pair]])=3,INDEX(teams[id],MATCH(LEFT(games[[#This Row],[pair]]),teams[char],0)),""),"")</f>
        <v/>
      </c>
      <c r="I137" s="1" t="str">
        <f ca="1">_xlfn.IFNA(IF(LEN(games[[#This Row],[pair]])=3,INDEX(teams[id],MATCH(RIGHT(games[[#This Row],[pair]]),teams[char],0)),""),"")</f>
        <v/>
      </c>
      <c r="J137" s="1" t="str">
        <f>IF(games[[#This Row],[played]],INDEX(pages!$I$1:$I$759,games[[#This Row],[ind]]),"")</f>
        <v/>
      </c>
      <c r="K137" s="1" t="str">
        <f>IF(games[[#This Row],[played]],INDEX(pages!$J$1:$J$759,games[[#This Row],[ind]]),"")</f>
        <v/>
      </c>
      <c r="L137" s="40" t="str">
        <f ca="1">INDEX(fields[char],MATCH(games[[#This Row],[field]],fields[field],0))&amp;IF(games[[#This Row],[tag]]="-","","("&amp;games[[#This Row],[tag]]&amp;")")</f>
        <v>p()</v>
      </c>
    </row>
    <row r="138" spans="1:12" x14ac:dyDescent="0.35">
      <c r="A138" s="1">
        <f t="shared" si="2"/>
        <v>28</v>
      </c>
      <c r="B138" s="1" t="s">
        <v>4</v>
      </c>
      <c r="C138" s="1">
        <f>INDEX(fields[column],MATCH(games[[#This Row],[field]],fields[field],0))</f>
        <v>2</v>
      </c>
      <c r="D138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38" s="40" t="str">
        <f ca="1">IF(LEN(games[[#This Row],[pair]])=3,MID(games[[#This Row],[pair]],2,1),"")</f>
        <v/>
      </c>
      <c r="F138" s="1">
        <f t="array" ref="F138">MATCH(1,(pages!$A$1:$A$957=games[[#This Row],[r]])*(pages!$B$1:$B$957=games[[#This Row],[field]]),0)</f>
        <v>152</v>
      </c>
      <c r="G138" s="1" t="b">
        <f>INDEX(pages!$L$1:$L$957,games[[#This Row],[ind]])</f>
        <v>0</v>
      </c>
      <c r="H138" s="1" t="str">
        <f ca="1">_xlfn.IFNA(IF(LEN(games[[#This Row],[pair]])=3,INDEX(teams[id],MATCH(LEFT(games[[#This Row],[pair]]),teams[char],0)),""),"")</f>
        <v/>
      </c>
      <c r="I138" s="1" t="str">
        <f ca="1">_xlfn.IFNA(IF(LEN(games[[#This Row],[pair]])=3,INDEX(teams[id],MATCH(RIGHT(games[[#This Row],[pair]]),teams[char],0)),""),"")</f>
        <v/>
      </c>
      <c r="J138" s="1" t="str">
        <f>IF(games[[#This Row],[played]],INDEX(pages!$I$1:$I$759,games[[#This Row],[ind]]),"")</f>
        <v/>
      </c>
      <c r="K138" s="1" t="str">
        <f>IF(games[[#This Row],[played]],INDEX(pages!$J$1:$J$759,games[[#This Row],[ind]]),"")</f>
        <v/>
      </c>
      <c r="L138" s="40" t="str">
        <f ca="1">INDEX(fields[char],MATCH(games[[#This Row],[field]],fields[field],0))&amp;IF(games[[#This Row],[tag]]="-","","("&amp;games[[#This Row],[tag]]&amp;")")</f>
        <v>p()</v>
      </c>
    </row>
    <row r="139" spans="1:12" x14ac:dyDescent="0.35">
      <c r="A139" s="1">
        <f t="shared" si="2"/>
        <v>28</v>
      </c>
      <c r="B139" s="1" t="s">
        <v>5</v>
      </c>
      <c r="C139" s="1">
        <f>INDEX(fields[column],MATCH(games[[#This Row],[field]],fields[field],0))</f>
        <v>3</v>
      </c>
      <c r="D139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39" s="40" t="str">
        <f ca="1">IF(LEN(games[[#This Row],[pair]])=3,MID(games[[#This Row],[pair]],2,1),"")</f>
        <v/>
      </c>
      <c r="F139" s="1">
        <f t="array" ref="F139">MATCH(1,(pages!$A$1:$A$957=games[[#This Row],[r]])*(pages!$B$1:$B$957=games[[#This Row],[field]]),0)</f>
        <v>153</v>
      </c>
      <c r="G139" s="1" t="b">
        <f>INDEX(pages!$L$1:$L$957,games[[#This Row],[ind]])</f>
        <v>0</v>
      </c>
      <c r="H139" s="1" t="str">
        <f ca="1">_xlfn.IFNA(IF(LEN(games[[#This Row],[pair]])=3,INDEX(teams[id],MATCH(LEFT(games[[#This Row],[pair]]),teams[char],0)),""),"")</f>
        <v/>
      </c>
      <c r="I139" s="1" t="str">
        <f ca="1">_xlfn.IFNA(IF(LEN(games[[#This Row],[pair]])=3,INDEX(teams[id],MATCH(RIGHT(games[[#This Row],[pair]]),teams[char],0)),""),"")</f>
        <v/>
      </c>
      <c r="J139" s="1" t="str">
        <f>IF(games[[#This Row],[played]],INDEX(pages!$I$1:$I$759,games[[#This Row],[ind]]),"")</f>
        <v/>
      </c>
      <c r="K139" s="1" t="str">
        <f>IF(games[[#This Row],[played]],INDEX(pages!$J$1:$J$759,games[[#This Row],[ind]]),"")</f>
        <v/>
      </c>
      <c r="L139" s="40" t="str">
        <f ca="1">INDEX(fields[char],MATCH(games[[#This Row],[field]],fields[field],0))&amp;IF(games[[#This Row],[tag]]="-","","("&amp;games[[#This Row],[tag]]&amp;")")</f>
        <v>k()</v>
      </c>
    </row>
    <row r="140" spans="1:12" x14ac:dyDescent="0.35">
      <c r="A140" s="1">
        <f t="shared" si="2"/>
        <v>28</v>
      </c>
      <c r="B140" s="1" t="s">
        <v>53</v>
      </c>
      <c r="C140" s="1">
        <f>INDEX(fields[column],MATCH(games[[#This Row],[field]],fields[field],0))</f>
        <v>4</v>
      </c>
      <c r="D140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40" s="40" t="str">
        <f ca="1">IF(LEN(games[[#This Row],[pair]])=3,MID(games[[#This Row],[pair]],2,1),"")</f>
        <v/>
      </c>
      <c r="F140" s="1">
        <f t="array" ref="F140">MATCH(1,(pages!$A$1:$A$957=games[[#This Row],[r]])*(pages!$B$1:$B$957=games[[#This Row],[field]]),0)</f>
        <v>154</v>
      </c>
      <c r="G140" s="1" t="b">
        <f>INDEX(pages!$L$1:$L$957,games[[#This Row],[ind]])</f>
        <v>0</v>
      </c>
      <c r="H140" s="1" t="str">
        <f ca="1">_xlfn.IFNA(IF(LEN(games[[#This Row],[pair]])=3,INDEX(teams[id],MATCH(LEFT(games[[#This Row],[pair]]),teams[char],0)),""),"")</f>
        <v/>
      </c>
      <c r="I140" s="1" t="str">
        <f ca="1">_xlfn.IFNA(IF(LEN(games[[#This Row],[pair]])=3,INDEX(teams[id],MATCH(RIGHT(games[[#This Row],[pair]]),teams[char],0)),""),"")</f>
        <v/>
      </c>
      <c r="J140" s="1" t="str">
        <f>IF(games[[#This Row],[played]],INDEX(pages!$I$1:$I$759,games[[#This Row],[ind]]),"")</f>
        <v/>
      </c>
      <c r="K140" s="1" t="str">
        <f>IF(games[[#This Row],[played]],INDEX(pages!$J$1:$J$759,games[[#This Row],[ind]]),"")</f>
        <v/>
      </c>
      <c r="L140" s="40" t="str">
        <f ca="1">INDEX(fields[char],MATCH(games[[#This Row],[field]],fields[field],0))&amp;IF(games[[#This Row],[tag]]="-","","("&amp;games[[#This Row],[tag]]&amp;")")</f>
        <v>v()</v>
      </c>
    </row>
    <row r="141" spans="1:12" x14ac:dyDescent="0.35">
      <c r="A141" s="1">
        <f t="shared" si="2"/>
        <v>28</v>
      </c>
      <c r="B141" s="1" t="s">
        <v>54</v>
      </c>
      <c r="C141" s="1">
        <f>INDEX(fields[column],MATCH(games[[#This Row],[field]],fields[field],0))</f>
        <v>5</v>
      </c>
      <c r="D141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41" s="40" t="str">
        <f ca="1">IF(LEN(games[[#This Row],[pair]])=3,MID(games[[#This Row],[pair]],2,1),"")</f>
        <v/>
      </c>
      <c r="F141" s="1">
        <f t="array" ref="F141">MATCH(1,(pages!$A$1:$A$957=games[[#This Row],[r]])*(pages!$B$1:$B$957=games[[#This Row],[field]]),0)</f>
        <v>155</v>
      </c>
      <c r="G141" s="1" t="b">
        <f>INDEX(pages!$L$1:$L$957,games[[#This Row],[ind]])</f>
        <v>0</v>
      </c>
      <c r="H141" s="1" t="str">
        <f ca="1">_xlfn.IFNA(IF(LEN(games[[#This Row],[pair]])=3,INDEX(teams[id],MATCH(LEFT(games[[#This Row],[pair]]),teams[char],0)),""),"")</f>
        <v/>
      </c>
      <c r="I141" s="1" t="str">
        <f ca="1">_xlfn.IFNA(IF(LEN(games[[#This Row],[pair]])=3,INDEX(teams[id],MATCH(RIGHT(games[[#This Row],[pair]]),teams[char],0)),""),"")</f>
        <v/>
      </c>
      <c r="J141" s="1" t="str">
        <f>IF(games[[#This Row],[played]],INDEX(pages!$I$1:$I$759,games[[#This Row],[ind]]),"")</f>
        <v/>
      </c>
      <c r="K141" s="1" t="str">
        <f>IF(games[[#This Row],[played]],INDEX(pages!$J$1:$J$759,games[[#This Row],[ind]]),"")</f>
        <v/>
      </c>
      <c r="L141" s="40" t="str">
        <f ca="1">INDEX(fields[char],MATCH(games[[#This Row],[field]],fields[field],0))&amp;IF(games[[#This Row],[tag]]="-","","("&amp;games[[#This Row],[tag]]&amp;")")</f>
        <v>m()</v>
      </c>
    </row>
    <row r="142" spans="1:12" x14ac:dyDescent="0.35">
      <c r="A142" s="1">
        <f t="shared" si="2"/>
        <v>29</v>
      </c>
      <c r="B142" s="1" t="s">
        <v>3</v>
      </c>
      <c r="C142" s="1">
        <f>INDEX(fields[column],MATCH(games[[#This Row],[field]],fields[field],0))</f>
        <v>1</v>
      </c>
      <c r="D142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42" s="40" t="str">
        <f ca="1">IF(LEN(games[[#This Row],[pair]])=3,MID(games[[#This Row],[pair]],2,1),"")</f>
        <v/>
      </c>
      <c r="F142" s="1">
        <f t="array" ref="F142">MATCH(1,(pages!$A$1:$A$957=games[[#This Row],[r]])*(pages!$B$1:$B$957=games[[#This Row],[field]]),0)</f>
        <v>158</v>
      </c>
      <c r="G142" s="1" t="b">
        <f>INDEX(pages!$L$1:$L$957,games[[#This Row],[ind]])</f>
        <v>0</v>
      </c>
      <c r="H142" s="1" t="str">
        <f ca="1">_xlfn.IFNA(IF(LEN(games[[#This Row],[pair]])=3,INDEX(teams[id],MATCH(LEFT(games[[#This Row],[pair]]),teams[char],0)),""),"")</f>
        <v/>
      </c>
      <c r="I142" s="1" t="str">
        <f ca="1">_xlfn.IFNA(IF(LEN(games[[#This Row],[pair]])=3,INDEX(teams[id],MATCH(RIGHT(games[[#This Row],[pair]]),teams[char],0)),""),"")</f>
        <v/>
      </c>
      <c r="J142" s="1" t="str">
        <f>IF(games[[#This Row],[played]],INDEX(pages!$I$1:$I$759,games[[#This Row],[ind]]),"")</f>
        <v/>
      </c>
      <c r="K142" s="1" t="str">
        <f>IF(games[[#This Row],[played]],INDEX(pages!$J$1:$J$759,games[[#This Row],[ind]]),"")</f>
        <v/>
      </c>
      <c r="L142" s="40" t="str">
        <f ca="1">INDEX(fields[char],MATCH(games[[#This Row],[field]],fields[field],0))&amp;IF(games[[#This Row],[tag]]="-","","("&amp;games[[#This Row],[tag]]&amp;")")</f>
        <v>p()</v>
      </c>
    </row>
    <row r="143" spans="1:12" x14ac:dyDescent="0.35">
      <c r="A143" s="1">
        <f t="shared" si="2"/>
        <v>29</v>
      </c>
      <c r="B143" s="1" t="s">
        <v>4</v>
      </c>
      <c r="C143" s="1">
        <f>INDEX(fields[column],MATCH(games[[#This Row],[field]],fields[field],0))</f>
        <v>2</v>
      </c>
      <c r="D143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43" s="40" t="str">
        <f ca="1">IF(LEN(games[[#This Row],[pair]])=3,MID(games[[#This Row],[pair]],2,1),"")</f>
        <v/>
      </c>
      <c r="F143" s="1">
        <f t="array" ref="F143">MATCH(1,(pages!$A$1:$A$957=games[[#This Row],[r]])*(pages!$B$1:$B$957=games[[#This Row],[field]]),0)</f>
        <v>159</v>
      </c>
      <c r="G143" s="1" t="b">
        <f>INDEX(pages!$L$1:$L$957,games[[#This Row],[ind]])</f>
        <v>0</v>
      </c>
      <c r="H143" s="1" t="str">
        <f ca="1">_xlfn.IFNA(IF(LEN(games[[#This Row],[pair]])=3,INDEX(teams[id],MATCH(LEFT(games[[#This Row],[pair]]),teams[char],0)),""),"")</f>
        <v/>
      </c>
      <c r="I143" s="1" t="str">
        <f ca="1">_xlfn.IFNA(IF(LEN(games[[#This Row],[pair]])=3,INDEX(teams[id],MATCH(RIGHT(games[[#This Row],[pair]]),teams[char],0)),""),"")</f>
        <v/>
      </c>
      <c r="J143" s="1" t="str">
        <f>IF(games[[#This Row],[played]],INDEX(pages!$I$1:$I$759,games[[#This Row],[ind]]),"")</f>
        <v/>
      </c>
      <c r="K143" s="1" t="str">
        <f>IF(games[[#This Row],[played]],INDEX(pages!$J$1:$J$759,games[[#This Row],[ind]]),"")</f>
        <v/>
      </c>
      <c r="L143" s="40" t="str">
        <f ca="1">INDEX(fields[char],MATCH(games[[#This Row],[field]],fields[field],0))&amp;IF(games[[#This Row],[tag]]="-","","("&amp;games[[#This Row],[tag]]&amp;")")</f>
        <v>p()</v>
      </c>
    </row>
    <row r="144" spans="1:12" x14ac:dyDescent="0.35">
      <c r="A144" s="1">
        <f t="shared" si="2"/>
        <v>29</v>
      </c>
      <c r="B144" s="1" t="s">
        <v>5</v>
      </c>
      <c r="C144" s="1">
        <f>INDEX(fields[column],MATCH(games[[#This Row],[field]],fields[field],0))</f>
        <v>3</v>
      </c>
      <c r="D144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44" s="40" t="str">
        <f ca="1">IF(LEN(games[[#This Row],[pair]])=3,MID(games[[#This Row],[pair]],2,1),"")</f>
        <v/>
      </c>
      <c r="F144" s="1">
        <f t="array" ref="F144">MATCH(1,(pages!$A$1:$A$957=games[[#This Row],[r]])*(pages!$B$1:$B$957=games[[#This Row],[field]]),0)</f>
        <v>160</v>
      </c>
      <c r="G144" s="1" t="b">
        <f>INDEX(pages!$L$1:$L$957,games[[#This Row],[ind]])</f>
        <v>0</v>
      </c>
      <c r="H144" s="1" t="str">
        <f ca="1">_xlfn.IFNA(IF(LEN(games[[#This Row],[pair]])=3,INDEX(teams[id],MATCH(LEFT(games[[#This Row],[pair]]),teams[char],0)),""),"")</f>
        <v/>
      </c>
      <c r="I144" s="1" t="str">
        <f ca="1">_xlfn.IFNA(IF(LEN(games[[#This Row],[pair]])=3,INDEX(teams[id],MATCH(RIGHT(games[[#This Row],[pair]]),teams[char],0)),""),"")</f>
        <v/>
      </c>
      <c r="J144" s="1" t="str">
        <f>IF(games[[#This Row],[played]],INDEX(pages!$I$1:$I$759,games[[#This Row],[ind]]),"")</f>
        <v/>
      </c>
      <c r="K144" s="1" t="str">
        <f>IF(games[[#This Row],[played]],INDEX(pages!$J$1:$J$759,games[[#This Row],[ind]]),"")</f>
        <v/>
      </c>
      <c r="L144" s="40" t="str">
        <f ca="1">INDEX(fields[char],MATCH(games[[#This Row],[field]],fields[field],0))&amp;IF(games[[#This Row],[tag]]="-","","("&amp;games[[#This Row],[tag]]&amp;")")</f>
        <v>k()</v>
      </c>
    </row>
    <row r="145" spans="1:12" x14ac:dyDescent="0.35">
      <c r="A145" s="1">
        <f t="shared" si="2"/>
        <v>29</v>
      </c>
      <c r="B145" s="1" t="s">
        <v>53</v>
      </c>
      <c r="C145" s="1">
        <f>INDEX(fields[column],MATCH(games[[#This Row],[field]],fields[field],0))</f>
        <v>4</v>
      </c>
      <c r="D145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45" s="40" t="str">
        <f ca="1">IF(LEN(games[[#This Row],[pair]])=3,MID(games[[#This Row],[pair]],2,1),"")</f>
        <v/>
      </c>
      <c r="F145" s="1">
        <f t="array" ref="F145">MATCH(1,(pages!$A$1:$A$957=games[[#This Row],[r]])*(pages!$B$1:$B$957=games[[#This Row],[field]]),0)</f>
        <v>161</v>
      </c>
      <c r="G145" s="1" t="b">
        <f>INDEX(pages!$L$1:$L$957,games[[#This Row],[ind]])</f>
        <v>0</v>
      </c>
      <c r="H145" s="1" t="str">
        <f ca="1">_xlfn.IFNA(IF(LEN(games[[#This Row],[pair]])=3,INDEX(teams[id],MATCH(LEFT(games[[#This Row],[pair]]),teams[char],0)),""),"")</f>
        <v/>
      </c>
      <c r="I145" s="1" t="str">
        <f ca="1">_xlfn.IFNA(IF(LEN(games[[#This Row],[pair]])=3,INDEX(teams[id],MATCH(RIGHT(games[[#This Row],[pair]]),teams[char],0)),""),"")</f>
        <v/>
      </c>
      <c r="J145" s="1" t="str">
        <f>IF(games[[#This Row],[played]],INDEX(pages!$I$1:$I$759,games[[#This Row],[ind]]),"")</f>
        <v/>
      </c>
      <c r="K145" s="1" t="str">
        <f>IF(games[[#This Row],[played]],INDEX(pages!$J$1:$J$759,games[[#This Row],[ind]]),"")</f>
        <v/>
      </c>
      <c r="L145" s="40" t="str">
        <f ca="1">INDEX(fields[char],MATCH(games[[#This Row],[field]],fields[field],0))&amp;IF(games[[#This Row],[tag]]="-","","("&amp;games[[#This Row],[tag]]&amp;")")</f>
        <v>v()</v>
      </c>
    </row>
    <row r="146" spans="1:12" x14ac:dyDescent="0.35">
      <c r="A146" s="1">
        <f t="shared" si="2"/>
        <v>29</v>
      </c>
      <c r="B146" s="1" t="s">
        <v>54</v>
      </c>
      <c r="C146" s="1">
        <f>INDEX(fields[column],MATCH(games[[#This Row],[field]],fields[field],0))</f>
        <v>5</v>
      </c>
      <c r="D146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46" s="40" t="str">
        <f ca="1">IF(LEN(games[[#This Row],[pair]])=3,MID(games[[#This Row],[pair]],2,1),"")</f>
        <v/>
      </c>
      <c r="F146" s="1">
        <f t="array" ref="F146">MATCH(1,(pages!$A$1:$A$957=games[[#This Row],[r]])*(pages!$B$1:$B$957=games[[#This Row],[field]]),0)</f>
        <v>162</v>
      </c>
      <c r="G146" s="1" t="b">
        <f>INDEX(pages!$L$1:$L$957,games[[#This Row],[ind]])</f>
        <v>0</v>
      </c>
      <c r="H146" s="1" t="str">
        <f ca="1">_xlfn.IFNA(IF(LEN(games[[#This Row],[pair]])=3,INDEX(teams[id],MATCH(LEFT(games[[#This Row],[pair]]),teams[char],0)),""),"")</f>
        <v/>
      </c>
      <c r="I146" s="1" t="str">
        <f ca="1">_xlfn.IFNA(IF(LEN(games[[#This Row],[pair]])=3,INDEX(teams[id],MATCH(RIGHT(games[[#This Row],[pair]]),teams[char],0)),""),"")</f>
        <v/>
      </c>
      <c r="J146" s="1" t="str">
        <f>IF(games[[#This Row],[played]],INDEX(pages!$I$1:$I$759,games[[#This Row],[ind]]),"")</f>
        <v/>
      </c>
      <c r="K146" s="1" t="str">
        <f>IF(games[[#This Row],[played]],INDEX(pages!$J$1:$J$759,games[[#This Row],[ind]]),"")</f>
        <v/>
      </c>
      <c r="L146" s="40" t="str">
        <f ca="1">INDEX(fields[char],MATCH(games[[#This Row],[field]],fields[field],0))&amp;IF(games[[#This Row],[tag]]="-","","("&amp;games[[#This Row],[tag]]&amp;")")</f>
        <v>m()</v>
      </c>
    </row>
    <row r="147" spans="1:12" x14ac:dyDescent="0.35">
      <c r="A147" s="1">
        <f t="shared" si="2"/>
        <v>30</v>
      </c>
      <c r="B147" s="1" t="s">
        <v>3</v>
      </c>
      <c r="C147" s="1">
        <f>INDEX(fields[column],MATCH(games[[#This Row],[field]],fields[field],0))</f>
        <v>1</v>
      </c>
      <c r="D147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47" s="40" t="str">
        <f ca="1">IF(LEN(games[[#This Row],[pair]])=3,MID(games[[#This Row],[pair]],2,1),"")</f>
        <v/>
      </c>
      <c r="F147" s="1">
        <f t="array" ref="F147">MATCH(1,(pages!$A$1:$A$957=games[[#This Row],[r]])*(pages!$B$1:$B$957=games[[#This Row],[field]]),0)</f>
        <v>163</v>
      </c>
      <c r="G147" s="1" t="b">
        <f>INDEX(pages!$L$1:$L$957,games[[#This Row],[ind]])</f>
        <v>0</v>
      </c>
      <c r="H147" s="1" t="str">
        <f ca="1">_xlfn.IFNA(IF(LEN(games[[#This Row],[pair]])=3,INDEX(teams[id],MATCH(LEFT(games[[#This Row],[pair]]),teams[char],0)),""),"")</f>
        <v/>
      </c>
      <c r="I147" s="1" t="str">
        <f ca="1">_xlfn.IFNA(IF(LEN(games[[#This Row],[pair]])=3,INDEX(teams[id],MATCH(RIGHT(games[[#This Row],[pair]]),teams[char],0)),""),"")</f>
        <v/>
      </c>
      <c r="J147" s="1" t="str">
        <f>IF(games[[#This Row],[played]],INDEX(pages!$I$1:$I$759,games[[#This Row],[ind]]),"")</f>
        <v/>
      </c>
      <c r="K147" s="1" t="str">
        <f>IF(games[[#This Row],[played]],INDEX(pages!$J$1:$J$759,games[[#This Row],[ind]]),"")</f>
        <v/>
      </c>
      <c r="L147" s="40" t="str">
        <f ca="1">INDEX(fields[char],MATCH(games[[#This Row],[field]],fields[field],0))&amp;IF(games[[#This Row],[tag]]="-","","("&amp;games[[#This Row],[tag]]&amp;")")</f>
        <v>p()</v>
      </c>
    </row>
    <row r="148" spans="1:12" x14ac:dyDescent="0.35">
      <c r="A148" s="1">
        <f t="shared" si="2"/>
        <v>30</v>
      </c>
      <c r="B148" s="1" t="s">
        <v>4</v>
      </c>
      <c r="C148" s="1">
        <f>INDEX(fields[column],MATCH(games[[#This Row],[field]],fields[field],0))</f>
        <v>2</v>
      </c>
      <c r="D148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48" s="40" t="str">
        <f ca="1">IF(LEN(games[[#This Row],[pair]])=3,MID(games[[#This Row],[pair]],2,1),"")</f>
        <v/>
      </c>
      <c r="F148" s="1">
        <f t="array" ref="F148">MATCH(1,(pages!$A$1:$A$957=games[[#This Row],[r]])*(pages!$B$1:$B$957=games[[#This Row],[field]]),0)</f>
        <v>164</v>
      </c>
      <c r="G148" s="1" t="b">
        <f>INDEX(pages!$L$1:$L$957,games[[#This Row],[ind]])</f>
        <v>0</v>
      </c>
      <c r="H148" s="1" t="str">
        <f ca="1">_xlfn.IFNA(IF(LEN(games[[#This Row],[pair]])=3,INDEX(teams[id],MATCH(LEFT(games[[#This Row],[pair]]),teams[char],0)),""),"")</f>
        <v/>
      </c>
      <c r="I148" s="1" t="str">
        <f ca="1">_xlfn.IFNA(IF(LEN(games[[#This Row],[pair]])=3,INDEX(teams[id],MATCH(RIGHT(games[[#This Row],[pair]]),teams[char],0)),""),"")</f>
        <v/>
      </c>
      <c r="J148" s="1" t="str">
        <f>IF(games[[#This Row],[played]],INDEX(pages!$I$1:$I$759,games[[#This Row],[ind]]),"")</f>
        <v/>
      </c>
      <c r="K148" s="1" t="str">
        <f>IF(games[[#This Row],[played]],INDEX(pages!$J$1:$J$759,games[[#This Row],[ind]]),"")</f>
        <v/>
      </c>
      <c r="L148" s="40" t="str">
        <f ca="1">INDEX(fields[char],MATCH(games[[#This Row],[field]],fields[field],0))&amp;IF(games[[#This Row],[tag]]="-","","("&amp;games[[#This Row],[tag]]&amp;")")</f>
        <v>p()</v>
      </c>
    </row>
    <row r="149" spans="1:12" x14ac:dyDescent="0.35">
      <c r="A149" s="1">
        <f t="shared" si="2"/>
        <v>30</v>
      </c>
      <c r="B149" s="1" t="s">
        <v>5</v>
      </c>
      <c r="C149" s="1">
        <f>INDEX(fields[column],MATCH(games[[#This Row],[field]],fields[field],0))</f>
        <v>3</v>
      </c>
      <c r="D149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49" s="40" t="str">
        <f ca="1">IF(LEN(games[[#This Row],[pair]])=3,MID(games[[#This Row],[pair]],2,1),"")</f>
        <v/>
      </c>
      <c r="F149" s="1">
        <f t="array" ref="F149">MATCH(1,(pages!$A$1:$A$957=games[[#This Row],[r]])*(pages!$B$1:$B$957=games[[#This Row],[field]]),0)</f>
        <v>165</v>
      </c>
      <c r="G149" s="1" t="b">
        <f>INDEX(pages!$L$1:$L$957,games[[#This Row],[ind]])</f>
        <v>0</v>
      </c>
      <c r="H149" s="1" t="str">
        <f ca="1">_xlfn.IFNA(IF(LEN(games[[#This Row],[pair]])=3,INDEX(teams[id],MATCH(LEFT(games[[#This Row],[pair]]),teams[char],0)),""),"")</f>
        <v/>
      </c>
      <c r="I149" s="1" t="str">
        <f ca="1">_xlfn.IFNA(IF(LEN(games[[#This Row],[pair]])=3,INDEX(teams[id],MATCH(RIGHT(games[[#This Row],[pair]]),teams[char],0)),""),"")</f>
        <v/>
      </c>
      <c r="J149" s="1" t="str">
        <f>IF(games[[#This Row],[played]],INDEX(pages!$I$1:$I$759,games[[#This Row],[ind]]),"")</f>
        <v/>
      </c>
      <c r="K149" s="1" t="str">
        <f>IF(games[[#This Row],[played]],INDEX(pages!$J$1:$J$759,games[[#This Row],[ind]]),"")</f>
        <v/>
      </c>
      <c r="L149" s="40" t="str">
        <f ca="1">INDEX(fields[char],MATCH(games[[#This Row],[field]],fields[field],0))&amp;IF(games[[#This Row],[tag]]="-","","("&amp;games[[#This Row],[tag]]&amp;")")</f>
        <v>k()</v>
      </c>
    </row>
    <row r="150" spans="1:12" x14ac:dyDescent="0.35">
      <c r="A150" s="1">
        <f t="shared" si="2"/>
        <v>30</v>
      </c>
      <c r="B150" s="1" t="s">
        <v>53</v>
      </c>
      <c r="C150" s="1">
        <f>INDEX(fields[column],MATCH(games[[#This Row],[field]],fields[field],0))</f>
        <v>4</v>
      </c>
      <c r="D150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50" s="40" t="str">
        <f ca="1">IF(LEN(games[[#This Row],[pair]])=3,MID(games[[#This Row],[pair]],2,1),"")</f>
        <v/>
      </c>
      <c r="F150" s="1">
        <f t="array" ref="F150">MATCH(1,(pages!$A$1:$A$957=games[[#This Row],[r]])*(pages!$B$1:$B$957=games[[#This Row],[field]]),0)</f>
        <v>166</v>
      </c>
      <c r="G150" s="1" t="b">
        <f>INDEX(pages!$L$1:$L$957,games[[#This Row],[ind]])</f>
        <v>0</v>
      </c>
      <c r="H150" s="1" t="str">
        <f ca="1">_xlfn.IFNA(IF(LEN(games[[#This Row],[pair]])=3,INDEX(teams[id],MATCH(LEFT(games[[#This Row],[pair]]),teams[char],0)),""),"")</f>
        <v/>
      </c>
      <c r="I150" s="1" t="str">
        <f ca="1">_xlfn.IFNA(IF(LEN(games[[#This Row],[pair]])=3,INDEX(teams[id],MATCH(RIGHT(games[[#This Row],[pair]]),teams[char],0)),""),"")</f>
        <v/>
      </c>
      <c r="J150" s="1" t="str">
        <f>IF(games[[#This Row],[played]],INDEX(pages!$I$1:$I$759,games[[#This Row],[ind]]),"")</f>
        <v/>
      </c>
      <c r="K150" s="1" t="str">
        <f>IF(games[[#This Row],[played]],INDEX(pages!$J$1:$J$759,games[[#This Row],[ind]]),"")</f>
        <v/>
      </c>
      <c r="L150" s="40" t="str">
        <f ca="1">INDEX(fields[char],MATCH(games[[#This Row],[field]],fields[field],0))&amp;IF(games[[#This Row],[tag]]="-","","("&amp;games[[#This Row],[tag]]&amp;")")</f>
        <v>v()</v>
      </c>
    </row>
    <row r="151" spans="1:12" x14ac:dyDescent="0.35">
      <c r="A151" s="1">
        <f t="shared" si="2"/>
        <v>30</v>
      </c>
      <c r="B151" s="1" t="s">
        <v>54</v>
      </c>
      <c r="C151" s="1">
        <f>INDEX(fields[column],MATCH(games[[#This Row],[field]],fields[field],0))</f>
        <v>5</v>
      </c>
      <c r="D151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51" s="40" t="str">
        <f ca="1">IF(LEN(games[[#This Row],[pair]])=3,MID(games[[#This Row],[pair]],2,1),"")</f>
        <v/>
      </c>
      <c r="F151" s="1">
        <f t="array" ref="F151">MATCH(1,(pages!$A$1:$A$957=games[[#This Row],[r]])*(pages!$B$1:$B$957=games[[#This Row],[field]]),0)</f>
        <v>167</v>
      </c>
      <c r="G151" s="1" t="b">
        <f>INDEX(pages!$L$1:$L$957,games[[#This Row],[ind]])</f>
        <v>0</v>
      </c>
      <c r="H151" s="1" t="str">
        <f ca="1">_xlfn.IFNA(IF(LEN(games[[#This Row],[pair]])=3,INDEX(teams[id],MATCH(LEFT(games[[#This Row],[pair]]),teams[char],0)),""),"")</f>
        <v/>
      </c>
      <c r="I151" s="1" t="str">
        <f ca="1">_xlfn.IFNA(IF(LEN(games[[#This Row],[pair]])=3,INDEX(teams[id],MATCH(RIGHT(games[[#This Row],[pair]]),teams[char],0)),""),"")</f>
        <v/>
      </c>
      <c r="J151" s="1" t="str">
        <f>IF(games[[#This Row],[played]],INDEX(pages!$I$1:$I$759,games[[#This Row],[ind]]),"")</f>
        <v/>
      </c>
      <c r="K151" s="1" t="str">
        <f>IF(games[[#This Row],[played]],INDEX(pages!$J$1:$J$759,games[[#This Row],[ind]]),"")</f>
        <v/>
      </c>
      <c r="L151" s="40" t="str">
        <f ca="1">INDEX(fields[char],MATCH(games[[#This Row],[field]],fields[field],0))&amp;IF(games[[#This Row],[tag]]="-","","("&amp;games[[#This Row],[tag]]&amp;")")</f>
        <v>m()</v>
      </c>
    </row>
    <row r="152" spans="1:12" x14ac:dyDescent="0.35">
      <c r="A152" s="1">
        <f t="shared" si="2"/>
        <v>31</v>
      </c>
      <c r="B152" s="1" t="s">
        <v>3</v>
      </c>
      <c r="C152" s="1">
        <f>INDEX(fields[column],MATCH(games[[#This Row],[field]],fields[field],0))</f>
        <v>1</v>
      </c>
      <c r="D152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52" s="40" t="str">
        <f ca="1">IF(LEN(games[[#This Row],[pair]])=3,MID(games[[#This Row],[pair]],2,1),"")</f>
        <v/>
      </c>
      <c r="F152" s="1">
        <f t="array" ref="F152">MATCH(1,(pages!$A$1:$A$957=games[[#This Row],[r]])*(pages!$B$1:$B$957=games[[#This Row],[field]]),0)</f>
        <v>168</v>
      </c>
      <c r="G152" s="1" t="b">
        <f>INDEX(pages!$L$1:$L$957,games[[#This Row],[ind]])</f>
        <v>0</v>
      </c>
      <c r="H152" s="1" t="str">
        <f ca="1">_xlfn.IFNA(IF(LEN(games[[#This Row],[pair]])=3,INDEX(teams[id],MATCH(LEFT(games[[#This Row],[pair]]),teams[char],0)),""),"")</f>
        <v/>
      </c>
      <c r="I152" s="1" t="str">
        <f ca="1">_xlfn.IFNA(IF(LEN(games[[#This Row],[pair]])=3,INDEX(teams[id],MATCH(RIGHT(games[[#This Row],[pair]]),teams[char],0)),""),"")</f>
        <v/>
      </c>
      <c r="J152" s="1" t="str">
        <f>IF(games[[#This Row],[played]],INDEX(pages!$I$1:$I$759,games[[#This Row],[ind]]),"")</f>
        <v/>
      </c>
      <c r="K152" s="1" t="str">
        <f>IF(games[[#This Row],[played]],INDEX(pages!$J$1:$J$759,games[[#This Row],[ind]]),"")</f>
        <v/>
      </c>
      <c r="L152" s="40" t="str">
        <f ca="1">INDEX(fields[char],MATCH(games[[#This Row],[field]],fields[field],0))&amp;IF(games[[#This Row],[tag]]="-","","("&amp;games[[#This Row],[tag]]&amp;")")</f>
        <v>p()</v>
      </c>
    </row>
    <row r="153" spans="1:12" x14ac:dyDescent="0.35">
      <c r="A153" s="1">
        <f t="shared" si="2"/>
        <v>31</v>
      </c>
      <c r="B153" s="1" t="s">
        <v>4</v>
      </c>
      <c r="C153" s="1">
        <f>INDEX(fields[column],MATCH(games[[#This Row],[field]],fields[field],0))</f>
        <v>2</v>
      </c>
      <c r="D153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53" s="40" t="str">
        <f ca="1">IF(LEN(games[[#This Row],[pair]])=3,MID(games[[#This Row],[pair]],2,1),"")</f>
        <v/>
      </c>
      <c r="F153" s="1">
        <f t="array" ref="F153">MATCH(1,(pages!$A$1:$A$957=games[[#This Row],[r]])*(pages!$B$1:$B$957=games[[#This Row],[field]]),0)</f>
        <v>169</v>
      </c>
      <c r="G153" s="1" t="b">
        <f>INDEX(pages!$L$1:$L$957,games[[#This Row],[ind]])</f>
        <v>0</v>
      </c>
      <c r="H153" s="1" t="str">
        <f ca="1">_xlfn.IFNA(IF(LEN(games[[#This Row],[pair]])=3,INDEX(teams[id],MATCH(LEFT(games[[#This Row],[pair]]),teams[char],0)),""),"")</f>
        <v/>
      </c>
      <c r="I153" s="1" t="str">
        <f ca="1">_xlfn.IFNA(IF(LEN(games[[#This Row],[pair]])=3,INDEX(teams[id],MATCH(RIGHT(games[[#This Row],[pair]]),teams[char],0)),""),"")</f>
        <v/>
      </c>
      <c r="J153" s="1" t="str">
        <f>IF(games[[#This Row],[played]],INDEX(pages!$I$1:$I$759,games[[#This Row],[ind]]),"")</f>
        <v/>
      </c>
      <c r="K153" s="1" t="str">
        <f>IF(games[[#This Row],[played]],INDEX(pages!$J$1:$J$759,games[[#This Row],[ind]]),"")</f>
        <v/>
      </c>
      <c r="L153" s="40" t="str">
        <f ca="1">INDEX(fields[char],MATCH(games[[#This Row],[field]],fields[field],0))&amp;IF(games[[#This Row],[tag]]="-","","("&amp;games[[#This Row],[tag]]&amp;")")</f>
        <v>p()</v>
      </c>
    </row>
    <row r="154" spans="1:12" x14ac:dyDescent="0.35">
      <c r="A154" s="1">
        <f t="shared" si="2"/>
        <v>31</v>
      </c>
      <c r="B154" s="1" t="s">
        <v>5</v>
      </c>
      <c r="C154" s="1">
        <f>INDEX(fields[column],MATCH(games[[#This Row],[field]],fields[field],0))</f>
        <v>3</v>
      </c>
      <c r="D154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54" s="40" t="str">
        <f ca="1">IF(LEN(games[[#This Row],[pair]])=3,MID(games[[#This Row],[pair]],2,1),"")</f>
        <v/>
      </c>
      <c r="F154" s="1">
        <f t="array" ref="F154">MATCH(1,(pages!$A$1:$A$957=games[[#This Row],[r]])*(pages!$B$1:$B$957=games[[#This Row],[field]]),0)</f>
        <v>170</v>
      </c>
      <c r="G154" s="1" t="b">
        <f>INDEX(pages!$L$1:$L$957,games[[#This Row],[ind]])</f>
        <v>0</v>
      </c>
      <c r="H154" s="1" t="str">
        <f ca="1">_xlfn.IFNA(IF(LEN(games[[#This Row],[pair]])=3,INDEX(teams[id],MATCH(LEFT(games[[#This Row],[pair]]),teams[char],0)),""),"")</f>
        <v/>
      </c>
      <c r="I154" s="1" t="str">
        <f ca="1">_xlfn.IFNA(IF(LEN(games[[#This Row],[pair]])=3,INDEX(teams[id],MATCH(RIGHT(games[[#This Row],[pair]]),teams[char],0)),""),"")</f>
        <v/>
      </c>
      <c r="J154" s="1" t="str">
        <f>IF(games[[#This Row],[played]],INDEX(pages!$I$1:$I$759,games[[#This Row],[ind]]),"")</f>
        <v/>
      </c>
      <c r="K154" s="1" t="str">
        <f>IF(games[[#This Row],[played]],INDEX(pages!$J$1:$J$759,games[[#This Row],[ind]]),"")</f>
        <v/>
      </c>
      <c r="L154" s="40" t="str">
        <f ca="1">INDEX(fields[char],MATCH(games[[#This Row],[field]],fields[field],0))&amp;IF(games[[#This Row],[tag]]="-","","("&amp;games[[#This Row],[tag]]&amp;")")</f>
        <v>k()</v>
      </c>
    </row>
    <row r="155" spans="1:12" x14ac:dyDescent="0.35">
      <c r="A155" s="1">
        <f t="shared" si="2"/>
        <v>31</v>
      </c>
      <c r="B155" s="1" t="s">
        <v>53</v>
      </c>
      <c r="C155" s="1">
        <f>INDEX(fields[column],MATCH(games[[#This Row],[field]],fields[field],0))</f>
        <v>4</v>
      </c>
      <c r="D155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55" s="40" t="str">
        <f ca="1">IF(LEN(games[[#This Row],[pair]])=3,MID(games[[#This Row],[pair]],2,1),"")</f>
        <v/>
      </c>
      <c r="F155" s="1">
        <f t="array" ref="F155">MATCH(1,(pages!$A$1:$A$957=games[[#This Row],[r]])*(pages!$B$1:$B$957=games[[#This Row],[field]]),0)</f>
        <v>171</v>
      </c>
      <c r="G155" s="1" t="b">
        <f>INDEX(pages!$L$1:$L$957,games[[#This Row],[ind]])</f>
        <v>0</v>
      </c>
      <c r="H155" s="1" t="str">
        <f ca="1">_xlfn.IFNA(IF(LEN(games[[#This Row],[pair]])=3,INDEX(teams[id],MATCH(LEFT(games[[#This Row],[pair]]),teams[char],0)),""),"")</f>
        <v/>
      </c>
      <c r="I155" s="1" t="str">
        <f ca="1">_xlfn.IFNA(IF(LEN(games[[#This Row],[pair]])=3,INDEX(teams[id],MATCH(RIGHT(games[[#This Row],[pair]]),teams[char],0)),""),"")</f>
        <v/>
      </c>
      <c r="J155" s="1" t="str">
        <f>IF(games[[#This Row],[played]],INDEX(pages!$I$1:$I$759,games[[#This Row],[ind]]),"")</f>
        <v/>
      </c>
      <c r="K155" s="1" t="str">
        <f>IF(games[[#This Row],[played]],INDEX(pages!$J$1:$J$759,games[[#This Row],[ind]]),"")</f>
        <v/>
      </c>
      <c r="L155" s="40" t="str">
        <f ca="1">INDEX(fields[char],MATCH(games[[#This Row],[field]],fields[field],0))&amp;IF(games[[#This Row],[tag]]="-","","("&amp;games[[#This Row],[tag]]&amp;")")</f>
        <v>v()</v>
      </c>
    </row>
    <row r="156" spans="1:12" x14ac:dyDescent="0.35">
      <c r="A156" s="1">
        <f t="shared" si="2"/>
        <v>31</v>
      </c>
      <c r="B156" s="1" t="s">
        <v>54</v>
      </c>
      <c r="C156" s="1">
        <f>INDEX(fields[column],MATCH(games[[#This Row],[field]],fields[field],0))</f>
        <v>5</v>
      </c>
      <c r="D156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56" s="40" t="str">
        <f ca="1">IF(LEN(games[[#This Row],[pair]])=3,MID(games[[#This Row],[pair]],2,1),"")</f>
        <v/>
      </c>
      <c r="F156" s="1">
        <f t="array" ref="F156">MATCH(1,(pages!$A$1:$A$957=games[[#This Row],[r]])*(pages!$B$1:$B$957=games[[#This Row],[field]]),0)</f>
        <v>172</v>
      </c>
      <c r="G156" s="1" t="b">
        <f>INDEX(pages!$L$1:$L$957,games[[#This Row],[ind]])</f>
        <v>0</v>
      </c>
      <c r="H156" s="1" t="str">
        <f ca="1">_xlfn.IFNA(IF(LEN(games[[#This Row],[pair]])=3,INDEX(teams[id],MATCH(LEFT(games[[#This Row],[pair]]),teams[char],0)),""),"")</f>
        <v/>
      </c>
      <c r="I156" s="1" t="str">
        <f ca="1">_xlfn.IFNA(IF(LEN(games[[#This Row],[pair]])=3,INDEX(teams[id],MATCH(RIGHT(games[[#This Row],[pair]]),teams[char],0)),""),"")</f>
        <v/>
      </c>
      <c r="J156" s="1" t="str">
        <f>IF(games[[#This Row],[played]],INDEX(pages!$I$1:$I$759,games[[#This Row],[ind]]),"")</f>
        <v/>
      </c>
      <c r="K156" s="1" t="str">
        <f>IF(games[[#This Row],[played]],INDEX(pages!$J$1:$J$759,games[[#This Row],[ind]]),"")</f>
        <v/>
      </c>
      <c r="L156" s="40" t="str">
        <f ca="1">INDEX(fields[char],MATCH(games[[#This Row],[field]],fields[field],0))&amp;IF(games[[#This Row],[tag]]="-","","("&amp;games[[#This Row],[tag]]&amp;")")</f>
        <v>m()</v>
      </c>
    </row>
    <row r="157" spans="1:12" x14ac:dyDescent="0.35">
      <c r="A157" s="1">
        <f t="shared" si="2"/>
        <v>32</v>
      </c>
      <c r="B157" s="1" t="s">
        <v>3</v>
      </c>
      <c r="C157" s="1">
        <f>INDEX(fields[column],MATCH(games[[#This Row],[field]],fields[field],0))</f>
        <v>1</v>
      </c>
      <c r="D157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57" s="40" t="str">
        <f ca="1">IF(LEN(games[[#This Row],[pair]])=3,MID(games[[#This Row],[pair]],2,1),"")</f>
        <v/>
      </c>
      <c r="F157" s="1">
        <f t="array" ref="F157">MATCH(1,(pages!$A$1:$A$957=games[[#This Row],[r]])*(pages!$B$1:$B$957=games[[#This Row],[field]]),0)</f>
        <v>173</v>
      </c>
      <c r="G157" s="1" t="b">
        <f>INDEX(pages!$L$1:$L$957,games[[#This Row],[ind]])</f>
        <v>0</v>
      </c>
      <c r="H157" s="1" t="str">
        <f ca="1">_xlfn.IFNA(IF(LEN(games[[#This Row],[pair]])=3,INDEX(teams[id],MATCH(LEFT(games[[#This Row],[pair]]),teams[char],0)),""),"")</f>
        <v/>
      </c>
      <c r="I157" s="1" t="str">
        <f ca="1">_xlfn.IFNA(IF(LEN(games[[#This Row],[pair]])=3,INDEX(teams[id],MATCH(RIGHT(games[[#This Row],[pair]]),teams[char],0)),""),"")</f>
        <v/>
      </c>
      <c r="J157" s="1" t="str">
        <f>IF(games[[#This Row],[played]],INDEX(pages!$I$1:$I$759,games[[#This Row],[ind]]),"")</f>
        <v/>
      </c>
      <c r="K157" s="1" t="str">
        <f>IF(games[[#This Row],[played]],INDEX(pages!$J$1:$J$759,games[[#This Row],[ind]]),"")</f>
        <v/>
      </c>
      <c r="L157" s="40" t="str">
        <f ca="1">INDEX(fields[char],MATCH(games[[#This Row],[field]],fields[field],0))&amp;IF(games[[#This Row],[tag]]="-","","("&amp;games[[#This Row],[tag]]&amp;")")</f>
        <v>p()</v>
      </c>
    </row>
    <row r="158" spans="1:12" x14ac:dyDescent="0.35">
      <c r="A158" s="1">
        <f t="shared" si="2"/>
        <v>32</v>
      </c>
      <c r="B158" s="1" t="s">
        <v>4</v>
      </c>
      <c r="C158" s="1">
        <f>INDEX(fields[column],MATCH(games[[#This Row],[field]],fields[field],0))</f>
        <v>2</v>
      </c>
      <c r="D158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58" s="40" t="str">
        <f ca="1">IF(LEN(games[[#This Row],[pair]])=3,MID(games[[#This Row],[pair]],2,1),"")</f>
        <v/>
      </c>
      <c r="F158" s="1">
        <f t="array" ref="F158">MATCH(1,(pages!$A$1:$A$957=games[[#This Row],[r]])*(pages!$B$1:$B$957=games[[#This Row],[field]]),0)</f>
        <v>174</v>
      </c>
      <c r="G158" s="1" t="b">
        <f>INDEX(pages!$L$1:$L$957,games[[#This Row],[ind]])</f>
        <v>0</v>
      </c>
      <c r="H158" s="1" t="str">
        <f ca="1">_xlfn.IFNA(IF(LEN(games[[#This Row],[pair]])=3,INDEX(teams[id],MATCH(LEFT(games[[#This Row],[pair]]),teams[char],0)),""),"")</f>
        <v/>
      </c>
      <c r="I158" s="1" t="str">
        <f ca="1">_xlfn.IFNA(IF(LEN(games[[#This Row],[pair]])=3,INDEX(teams[id],MATCH(RIGHT(games[[#This Row],[pair]]),teams[char],0)),""),"")</f>
        <v/>
      </c>
      <c r="J158" s="1" t="str">
        <f>IF(games[[#This Row],[played]],INDEX(pages!$I$1:$I$759,games[[#This Row],[ind]]),"")</f>
        <v/>
      </c>
      <c r="K158" s="1" t="str">
        <f>IF(games[[#This Row],[played]],INDEX(pages!$J$1:$J$759,games[[#This Row],[ind]]),"")</f>
        <v/>
      </c>
      <c r="L158" s="40" t="str">
        <f ca="1">INDEX(fields[char],MATCH(games[[#This Row],[field]],fields[field],0))&amp;IF(games[[#This Row],[tag]]="-","","("&amp;games[[#This Row],[tag]]&amp;")")</f>
        <v>p()</v>
      </c>
    </row>
    <row r="159" spans="1:12" x14ac:dyDescent="0.35">
      <c r="A159" s="1">
        <f t="shared" si="2"/>
        <v>32</v>
      </c>
      <c r="B159" s="1" t="s">
        <v>5</v>
      </c>
      <c r="C159" s="1">
        <f>INDEX(fields[column],MATCH(games[[#This Row],[field]],fields[field],0))</f>
        <v>3</v>
      </c>
      <c r="D159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59" s="40" t="str">
        <f ca="1">IF(LEN(games[[#This Row],[pair]])=3,MID(games[[#This Row],[pair]],2,1),"")</f>
        <v/>
      </c>
      <c r="F159" s="1">
        <f t="array" ref="F159">MATCH(1,(pages!$A$1:$A$957=games[[#This Row],[r]])*(pages!$B$1:$B$957=games[[#This Row],[field]]),0)</f>
        <v>175</v>
      </c>
      <c r="G159" s="1" t="b">
        <f>INDEX(pages!$L$1:$L$957,games[[#This Row],[ind]])</f>
        <v>0</v>
      </c>
      <c r="H159" s="1" t="str">
        <f ca="1">_xlfn.IFNA(IF(LEN(games[[#This Row],[pair]])=3,INDEX(teams[id],MATCH(LEFT(games[[#This Row],[pair]]),teams[char],0)),""),"")</f>
        <v/>
      </c>
      <c r="I159" s="1" t="str">
        <f ca="1">_xlfn.IFNA(IF(LEN(games[[#This Row],[pair]])=3,INDEX(teams[id],MATCH(RIGHT(games[[#This Row],[pair]]),teams[char],0)),""),"")</f>
        <v/>
      </c>
      <c r="J159" s="1" t="str">
        <f>IF(games[[#This Row],[played]],INDEX(pages!$I$1:$I$759,games[[#This Row],[ind]]),"")</f>
        <v/>
      </c>
      <c r="K159" s="1" t="str">
        <f>IF(games[[#This Row],[played]],INDEX(pages!$J$1:$J$759,games[[#This Row],[ind]]),"")</f>
        <v/>
      </c>
      <c r="L159" s="40" t="str">
        <f ca="1">INDEX(fields[char],MATCH(games[[#This Row],[field]],fields[field],0))&amp;IF(games[[#This Row],[tag]]="-","","("&amp;games[[#This Row],[tag]]&amp;")")</f>
        <v>k()</v>
      </c>
    </row>
    <row r="160" spans="1:12" x14ac:dyDescent="0.35">
      <c r="A160" s="1">
        <f t="shared" si="2"/>
        <v>32</v>
      </c>
      <c r="B160" s="1" t="s">
        <v>53</v>
      </c>
      <c r="C160" s="1">
        <f>INDEX(fields[column],MATCH(games[[#This Row],[field]],fields[field],0))</f>
        <v>4</v>
      </c>
      <c r="D160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60" s="40" t="str">
        <f ca="1">IF(LEN(games[[#This Row],[pair]])=3,MID(games[[#This Row],[pair]],2,1),"")</f>
        <v/>
      </c>
      <c r="F160" s="1">
        <f t="array" ref="F160">MATCH(1,(pages!$A$1:$A$957=games[[#This Row],[r]])*(pages!$B$1:$B$957=games[[#This Row],[field]]),0)</f>
        <v>176</v>
      </c>
      <c r="G160" s="1" t="b">
        <f>INDEX(pages!$L$1:$L$957,games[[#This Row],[ind]])</f>
        <v>0</v>
      </c>
      <c r="H160" s="1" t="str">
        <f ca="1">_xlfn.IFNA(IF(LEN(games[[#This Row],[pair]])=3,INDEX(teams[id],MATCH(LEFT(games[[#This Row],[pair]]),teams[char],0)),""),"")</f>
        <v/>
      </c>
      <c r="I160" s="1" t="str">
        <f ca="1">_xlfn.IFNA(IF(LEN(games[[#This Row],[pair]])=3,INDEX(teams[id],MATCH(RIGHT(games[[#This Row],[pair]]),teams[char],0)),""),"")</f>
        <v/>
      </c>
      <c r="J160" s="1" t="str">
        <f>IF(games[[#This Row],[played]],INDEX(pages!$I$1:$I$759,games[[#This Row],[ind]]),"")</f>
        <v/>
      </c>
      <c r="K160" s="1" t="str">
        <f>IF(games[[#This Row],[played]],INDEX(pages!$J$1:$J$759,games[[#This Row],[ind]]),"")</f>
        <v/>
      </c>
      <c r="L160" s="40" t="str">
        <f ca="1">INDEX(fields[char],MATCH(games[[#This Row],[field]],fields[field],0))&amp;IF(games[[#This Row],[tag]]="-","","("&amp;games[[#This Row],[tag]]&amp;")")</f>
        <v>v()</v>
      </c>
    </row>
    <row r="161" spans="1:12" x14ac:dyDescent="0.35">
      <c r="A161" s="1">
        <f t="shared" si="2"/>
        <v>32</v>
      </c>
      <c r="B161" s="1" t="s">
        <v>54</v>
      </c>
      <c r="C161" s="1">
        <f>INDEX(fields[column],MATCH(games[[#This Row],[field]],fields[field],0))</f>
        <v>5</v>
      </c>
      <c r="D161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61" s="40" t="str">
        <f ca="1">IF(LEN(games[[#This Row],[pair]])=3,MID(games[[#This Row],[pair]],2,1),"")</f>
        <v/>
      </c>
      <c r="F161" s="1">
        <f t="array" ref="F161">MATCH(1,(pages!$A$1:$A$957=games[[#This Row],[r]])*(pages!$B$1:$B$957=games[[#This Row],[field]]),0)</f>
        <v>177</v>
      </c>
      <c r="G161" s="1" t="b">
        <f>INDEX(pages!$L$1:$L$957,games[[#This Row],[ind]])</f>
        <v>0</v>
      </c>
      <c r="H161" s="1" t="str">
        <f ca="1">_xlfn.IFNA(IF(LEN(games[[#This Row],[pair]])=3,INDEX(teams[id],MATCH(LEFT(games[[#This Row],[pair]]),teams[char],0)),""),"")</f>
        <v/>
      </c>
      <c r="I161" s="1" t="str">
        <f ca="1">_xlfn.IFNA(IF(LEN(games[[#This Row],[pair]])=3,INDEX(teams[id],MATCH(RIGHT(games[[#This Row],[pair]]),teams[char],0)),""),"")</f>
        <v/>
      </c>
      <c r="J161" s="1" t="str">
        <f>IF(games[[#This Row],[played]],INDEX(pages!$I$1:$I$759,games[[#This Row],[ind]]),"")</f>
        <v/>
      </c>
      <c r="K161" s="1" t="str">
        <f>IF(games[[#This Row],[played]],INDEX(pages!$J$1:$J$759,games[[#This Row],[ind]]),"")</f>
        <v/>
      </c>
      <c r="L161" s="40" t="str">
        <f ca="1">INDEX(fields[char],MATCH(games[[#This Row],[field]],fields[field],0))&amp;IF(games[[#This Row],[tag]]="-","","("&amp;games[[#This Row],[tag]]&amp;")")</f>
        <v>m()</v>
      </c>
    </row>
    <row r="162" spans="1:12" x14ac:dyDescent="0.35">
      <c r="A162" s="1">
        <f t="shared" si="2"/>
        <v>33</v>
      </c>
      <c r="B162" s="1" t="s">
        <v>3</v>
      </c>
      <c r="C162" s="1">
        <f>INDEX(fields[column],MATCH(games[[#This Row],[field]],fields[field],0))</f>
        <v>1</v>
      </c>
      <c r="D162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62" s="40" t="str">
        <f ca="1">IF(LEN(games[[#This Row],[pair]])=3,MID(games[[#This Row],[pair]],2,1),"")</f>
        <v/>
      </c>
      <c r="F162" s="1">
        <f t="array" ref="F162">MATCH(1,(pages!$A$1:$A$957=games[[#This Row],[r]])*(pages!$B$1:$B$957=games[[#This Row],[field]]),0)</f>
        <v>180</v>
      </c>
      <c r="G162" s="1" t="b">
        <f>INDEX(pages!$L$1:$L$957,games[[#This Row],[ind]])</f>
        <v>0</v>
      </c>
      <c r="H162" s="1" t="str">
        <f ca="1">_xlfn.IFNA(IF(LEN(games[[#This Row],[pair]])=3,INDEX(teams[id],MATCH(LEFT(games[[#This Row],[pair]]),teams[char],0)),""),"")</f>
        <v/>
      </c>
      <c r="I162" s="1" t="str">
        <f ca="1">_xlfn.IFNA(IF(LEN(games[[#This Row],[pair]])=3,INDEX(teams[id],MATCH(RIGHT(games[[#This Row],[pair]]),teams[char],0)),""),"")</f>
        <v/>
      </c>
      <c r="J162" s="1" t="str">
        <f>IF(games[[#This Row],[played]],INDEX(pages!$I$1:$I$759,games[[#This Row],[ind]]),"")</f>
        <v/>
      </c>
      <c r="K162" s="1" t="str">
        <f>IF(games[[#This Row],[played]],INDEX(pages!$J$1:$J$759,games[[#This Row],[ind]]),"")</f>
        <v/>
      </c>
      <c r="L162" s="40" t="str">
        <f ca="1">INDEX(fields[char],MATCH(games[[#This Row],[field]],fields[field],0))&amp;IF(games[[#This Row],[tag]]="-","","("&amp;games[[#This Row],[tag]]&amp;")")</f>
        <v>p()</v>
      </c>
    </row>
    <row r="163" spans="1:12" x14ac:dyDescent="0.35">
      <c r="A163" s="1">
        <f t="shared" si="2"/>
        <v>33</v>
      </c>
      <c r="B163" s="1" t="s">
        <v>4</v>
      </c>
      <c r="C163" s="1">
        <f>INDEX(fields[column],MATCH(games[[#This Row],[field]],fields[field],0))</f>
        <v>2</v>
      </c>
      <c r="D163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63" s="40" t="str">
        <f ca="1">IF(LEN(games[[#This Row],[pair]])=3,MID(games[[#This Row],[pair]],2,1),"")</f>
        <v/>
      </c>
      <c r="F163" s="1">
        <f t="array" ref="F163">MATCH(1,(pages!$A$1:$A$957=games[[#This Row],[r]])*(pages!$B$1:$B$957=games[[#This Row],[field]]),0)</f>
        <v>181</v>
      </c>
      <c r="G163" s="1" t="b">
        <f>INDEX(pages!$L$1:$L$957,games[[#This Row],[ind]])</f>
        <v>0</v>
      </c>
      <c r="H163" s="1" t="str">
        <f ca="1">_xlfn.IFNA(IF(LEN(games[[#This Row],[pair]])=3,INDEX(teams[id],MATCH(LEFT(games[[#This Row],[pair]]),teams[char],0)),""),"")</f>
        <v/>
      </c>
      <c r="I163" s="1" t="str">
        <f ca="1">_xlfn.IFNA(IF(LEN(games[[#This Row],[pair]])=3,INDEX(teams[id],MATCH(RIGHT(games[[#This Row],[pair]]),teams[char],0)),""),"")</f>
        <v/>
      </c>
      <c r="J163" s="1" t="str">
        <f>IF(games[[#This Row],[played]],INDEX(pages!$I$1:$I$759,games[[#This Row],[ind]]),"")</f>
        <v/>
      </c>
      <c r="K163" s="1" t="str">
        <f>IF(games[[#This Row],[played]],INDEX(pages!$J$1:$J$759,games[[#This Row],[ind]]),"")</f>
        <v/>
      </c>
      <c r="L163" s="40" t="str">
        <f ca="1">INDEX(fields[char],MATCH(games[[#This Row],[field]],fields[field],0))&amp;IF(games[[#This Row],[tag]]="-","","("&amp;games[[#This Row],[tag]]&amp;")")</f>
        <v>p()</v>
      </c>
    </row>
    <row r="164" spans="1:12" x14ac:dyDescent="0.35">
      <c r="A164" s="1">
        <f t="shared" si="2"/>
        <v>33</v>
      </c>
      <c r="B164" s="1" t="s">
        <v>5</v>
      </c>
      <c r="C164" s="1">
        <f>INDEX(fields[column],MATCH(games[[#This Row],[field]],fields[field],0))</f>
        <v>3</v>
      </c>
      <c r="D164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64" s="40" t="str">
        <f ca="1">IF(LEN(games[[#This Row],[pair]])=3,MID(games[[#This Row],[pair]],2,1),"")</f>
        <v/>
      </c>
      <c r="F164" s="1">
        <f t="array" ref="F164">MATCH(1,(pages!$A$1:$A$957=games[[#This Row],[r]])*(pages!$B$1:$B$957=games[[#This Row],[field]]),0)</f>
        <v>182</v>
      </c>
      <c r="G164" s="1" t="b">
        <f>INDEX(pages!$L$1:$L$957,games[[#This Row],[ind]])</f>
        <v>0</v>
      </c>
      <c r="H164" s="1" t="str">
        <f ca="1">_xlfn.IFNA(IF(LEN(games[[#This Row],[pair]])=3,INDEX(teams[id],MATCH(LEFT(games[[#This Row],[pair]]),teams[char],0)),""),"")</f>
        <v/>
      </c>
      <c r="I164" s="1" t="str">
        <f ca="1">_xlfn.IFNA(IF(LEN(games[[#This Row],[pair]])=3,INDEX(teams[id],MATCH(RIGHT(games[[#This Row],[pair]]),teams[char],0)),""),"")</f>
        <v/>
      </c>
      <c r="J164" s="1" t="str">
        <f>IF(games[[#This Row],[played]],INDEX(pages!$I$1:$I$759,games[[#This Row],[ind]]),"")</f>
        <v/>
      </c>
      <c r="K164" s="1" t="str">
        <f>IF(games[[#This Row],[played]],INDEX(pages!$J$1:$J$759,games[[#This Row],[ind]]),"")</f>
        <v/>
      </c>
      <c r="L164" s="40" t="str">
        <f ca="1">INDEX(fields[char],MATCH(games[[#This Row],[field]],fields[field],0))&amp;IF(games[[#This Row],[tag]]="-","","("&amp;games[[#This Row],[tag]]&amp;")")</f>
        <v>k()</v>
      </c>
    </row>
    <row r="165" spans="1:12" x14ac:dyDescent="0.35">
      <c r="A165" s="1">
        <f t="shared" si="2"/>
        <v>33</v>
      </c>
      <c r="B165" s="1" t="s">
        <v>53</v>
      </c>
      <c r="C165" s="1">
        <f>INDEX(fields[column],MATCH(games[[#This Row],[field]],fields[field],0))</f>
        <v>4</v>
      </c>
      <c r="D165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65" s="40" t="str">
        <f ca="1">IF(LEN(games[[#This Row],[pair]])=3,MID(games[[#This Row],[pair]],2,1),"")</f>
        <v/>
      </c>
      <c r="F165" s="1">
        <f t="array" ref="F165">MATCH(1,(pages!$A$1:$A$957=games[[#This Row],[r]])*(pages!$B$1:$B$957=games[[#This Row],[field]]),0)</f>
        <v>183</v>
      </c>
      <c r="G165" s="1" t="b">
        <f>INDEX(pages!$L$1:$L$957,games[[#This Row],[ind]])</f>
        <v>0</v>
      </c>
      <c r="H165" s="1" t="str">
        <f ca="1">_xlfn.IFNA(IF(LEN(games[[#This Row],[pair]])=3,INDEX(teams[id],MATCH(LEFT(games[[#This Row],[pair]]),teams[char],0)),""),"")</f>
        <v/>
      </c>
      <c r="I165" s="1" t="str">
        <f ca="1">_xlfn.IFNA(IF(LEN(games[[#This Row],[pair]])=3,INDEX(teams[id],MATCH(RIGHT(games[[#This Row],[pair]]),teams[char],0)),""),"")</f>
        <v/>
      </c>
      <c r="J165" s="1" t="str">
        <f>IF(games[[#This Row],[played]],INDEX(pages!$I$1:$I$759,games[[#This Row],[ind]]),"")</f>
        <v/>
      </c>
      <c r="K165" s="1" t="str">
        <f>IF(games[[#This Row],[played]],INDEX(pages!$J$1:$J$759,games[[#This Row],[ind]]),"")</f>
        <v/>
      </c>
      <c r="L165" s="40" t="str">
        <f ca="1">INDEX(fields[char],MATCH(games[[#This Row],[field]],fields[field],0))&amp;IF(games[[#This Row],[tag]]="-","","("&amp;games[[#This Row],[tag]]&amp;")")</f>
        <v>v()</v>
      </c>
    </row>
    <row r="166" spans="1:12" x14ac:dyDescent="0.35">
      <c r="A166" s="1">
        <f t="shared" si="2"/>
        <v>33</v>
      </c>
      <c r="B166" s="1" t="s">
        <v>54</v>
      </c>
      <c r="C166" s="1">
        <f>INDEX(fields[column],MATCH(games[[#This Row],[field]],fields[field],0))</f>
        <v>5</v>
      </c>
      <c r="D166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66" s="40" t="str">
        <f ca="1">IF(LEN(games[[#This Row],[pair]])=3,MID(games[[#This Row],[pair]],2,1),"")</f>
        <v/>
      </c>
      <c r="F166" s="1">
        <f t="array" ref="F166">MATCH(1,(pages!$A$1:$A$957=games[[#This Row],[r]])*(pages!$B$1:$B$957=games[[#This Row],[field]]),0)</f>
        <v>184</v>
      </c>
      <c r="G166" s="1" t="b">
        <f>INDEX(pages!$L$1:$L$957,games[[#This Row],[ind]])</f>
        <v>0</v>
      </c>
      <c r="H166" s="1" t="str">
        <f ca="1">_xlfn.IFNA(IF(LEN(games[[#This Row],[pair]])=3,INDEX(teams[id],MATCH(LEFT(games[[#This Row],[pair]]),teams[char],0)),""),"")</f>
        <v/>
      </c>
      <c r="I166" s="1" t="str">
        <f ca="1">_xlfn.IFNA(IF(LEN(games[[#This Row],[pair]])=3,INDEX(teams[id],MATCH(RIGHT(games[[#This Row],[pair]]),teams[char],0)),""),"")</f>
        <v/>
      </c>
      <c r="J166" s="1" t="str">
        <f>IF(games[[#This Row],[played]],INDEX(pages!$I$1:$I$759,games[[#This Row],[ind]]),"")</f>
        <v/>
      </c>
      <c r="K166" s="1" t="str">
        <f>IF(games[[#This Row],[played]],INDEX(pages!$J$1:$J$759,games[[#This Row],[ind]]),"")</f>
        <v/>
      </c>
      <c r="L166" s="40" t="str">
        <f ca="1">INDEX(fields[char],MATCH(games[[#This Row],[field]],fields[field],0))&amp;IF(games[[#This Row],[tag]]="-","","("&amp;games[[#This Row],[tag]]&amp;")")</f>
        <v>m()</v>
      </c>
    </row>
    <row r="167" spans="1:12" x14ac:dyDescent="0.35">
      <c r="A167" s="1">
        <f t="shared" si="2"/>
        <v>34</v>
      </c>
      <c r="B167" s="1" t="s">
        <v>3</v>
      </c>
      <c r="C167" s="1">
        <f>INDEX(fields[column],MATCH(games[[#This Row],[field]],fields[field],0))</f>
        <v>1</v>
      </c>
      <c r="D167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67" s="40" t="str">
        <f ca="1">IF(LEN(games[[#This Row],[pair]])=3,MID(games[[#This Row],[pair]],2,1),"")</f>
        <v/>
      </c>
      <c r="F167" s="1">
        <f t="array" ref="F167">MATCH(1,(pages!$A$1:$A$957=games[[#This Row],[r]])*(pages!$B$1:$B$957=games[[#This Row],[field]]),0)</f>
        <v>185</v>
      </c>
      <c r="G167" s="1" t="b">
        <f>INDEX(pages!$L$1:$L$957,games[[#This Row],[ind]])</f>
        <v>0</v>
      </c>
      <c r="H167" s="1" t="str">
        <f ca="1">_xlfn.IFNA(IF(LEN(games[[#This Row],[pair]])=3,INDEX(teams[id],MATCH(LEFT(games[[#This Row],[pair]]),teams[char],0)),""),"")</f>
        <v/>
      </c>
      <c r="I167" s="1" t="str">
        <f ca="1">_xlfn.IFNA(IF(LEN(games[[#This Row],[pair]])=3,INDEX(teams[id],MATCH(RIGHT(games[[#This Row],[pair]]),teams[char],0)),""),"")</f>
        <v/>
      </c>
      <c r="J167" s="1" t="str">
        <f>IF(games[[#This Row],[played]],INDEX(pages!$I$1:$I$759,games[[#This Row],[ind]]),"")</f>
        <v/>
      </c>
      <c r="K167" s="1" t="str">
        <f>IF(games[[#This Row],[played]],INDEX(pages!$J$1:$J$759,games[[#This Row],[ind]]),"")</f>
        <v/>
      </c>
      <c r="L167" s="40" t="str">
        <f ca="1">INDEX(fields[char],MATCH(games[[#This Row],[field]],fields[field],0))&amp;IF(games[[#This Row],[tag]]="-","","("&amp;games[[#This Row],[tag]]&amp;")")</f>
        <v>p()</v>
      </c>
    </row>
    <row r="168" spans="1:12" x14ac:dyDescent="0.35">
      <c r="A168" s="1">
        <f t="shared" si="2"/>
        <v>34</v>
      </c>
      <c r="B168" s="1" t="s">
        <v>4</v>
      </c>
      <c r="C168" s="1">
        <f>INDEX(fields[column],MATCH(games[[#This Row],[field]],fields[field],0))</f>
        <v>2</v>
      </c>
      <c r="D168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68" s="40" t="str">
        <f ca="1">IF(LEN(games[[#This Row],[pair]])=3,MID(games[[#This Row],[pair]],2,1),"")</f>
        <v/>
      </c>
      <c r="F168" s="1">
        <f t="array" ref="F168">MATCH(1,(pages!$A$1:$A$957=games[[#This Row],[r]])*(pages!$B$1:$B$957=games[[#This Row],[field]]),0)</f>
        <v>186</v>
      </c>
      <c r="G168" s="1" t="b">
        <f>INDEX(pages!$L$1:$L$957,games[[#This Row],[ind]])</f>
        <v>0</v>
      </c>
      <c r="H168" s="1" t="str">
        <f ca="1">_xlfn.IFNA(IF(LEN(games[[#This Row],[pair]])=3,INDEX(teams[id],MATCH(LEFT(games[[#This Row],[pair]]),teams[char],0)),""),"")</f>
        <v/>
      </c>
      <c r="I168" s="1" t="str">
        <f ca="1">_xlfn.IFNA(IF(LEN(games[[#This Row],[pair]])=3,INDEX(teams[id],MATCH(RIGHT(games[[#This Row],[pair]]),teams[char],0)),""),"")</f>
        <v/>
      </c>
      <c r="J168" s="1" t="str">
        <f>IF(games[[#This Row],[played]],INDEX(pages!$I$1:$I$759,games[[#This Row],[ind]]),"")</f>
        <v/>
      </c>
      <c r="K168" s="1" t="str">
        <f>IF(games[[#This Row],[played]],INDEX(pages!$J$1:$J$759,games[[#This Row],[ind]]),"")</f>
        <v/>
      </c>
      <c r="L168" s="40" t="str">
        <f ca="1">INDEX(fields[char],MATCH(games[[#This Row],[field]],fields[field],0))&amp;IF(games[[#This Row],[tag]]="-","","("&amp;games[[#This Row],[tag]]&amp;")")</f>
        <v>p()</v>
      </c>
    </row>
    <row r="169" spans="1:12" x14ac:dyDescent="0.35">
      <c r="A169" s="1">
        <f t="shared" si="2"/>
        <v>34</v>
      </c>
      <c r="B169" s="1" t="s">
        <v>5</v>
      </c>
      <c r="C169" s="1">
        <f>INDEX(fields[column],MATCH(games[[#This Row],[field]],fields[field],0))</f>
        <v>3</v>
      </c>
      <c r="D169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69" s="40" t="str">
        <f ca="1">IF(LEN(games[[#This Row],[pair]])=3,MID(games[[#This Row],[pair]],2,1),"")</f>
        <v/>
      </c>
      <c r="F169" s="1">
        <f t="array" ref="F169">MATCH(1,(pages!$A$1:$A$957=games[[#This Row],[r]])*(pages!$B$1:$B$957=games[[#This Row],[field]]),0)</f>
        <v>187</v>
      </c>
      <c r="G169" s="1" t="b">
        <f>INDEX(pages!$L$1:$L$957,games[[#This Row],[ind]])</f>
        <v>0</v>
      </c>
      <c r="H169" s="1" t="str">
        <f ca="1">_xlfn.IFNA(IF(LEN(games[[#This Row],[pair]])=3,INDEX(teams[id],MATCH(LEFT(games[[#This Row],[pair]]),teams[char],0)),""),"")</f>
        <v/>
      </c>
      <c r="I169" s="1" t="str">
        <f ca="1">_xlfn.IFNA(IF(LEN(games[[#This Row],[pair]])=3,INDEX(teams[id],MATCH(RIGHT(games[[#This Row],[pair]]),teams[char],0)),""),"")</f>
        <v/>
      </c>
      <c r="J169" s="1" t="str">
        <f>IF(games[[#This Row],[played]],INDEX(pages!$I$1:$I$759,games[[#This Row],[ind]]),"")</f>
        <v/>
      </c>
      <c r="K169" s="1" t="str">
        <f>IF(games[[#This Row],[played]],INDEX(pages!$J$1:$J$759,games[[#This Row],[ind]]),"")</f>
        <v/>
      </c>
      <c r="L169" s="40" t="str">
        <f ca="1">INDEX(fields[char],MATCH(games[[#This Row],[field]],fields[field],0))&amp;IF(games[[#This Row],[tag]]="-","","("&amp;games[[#This Row],[tag]]&amp;")")</f>
        <v>k()</v>
      </c>
    </row>
    <row r="170" spans="1:12" x14ac:dyDescent="0.35">
      <c r="A170" s="1">
        <f t="shared" si="2"/>
        <v>34</v>
      </c>
      <c r="B170" s="1" t="s">
        <v>53</v>
      </c>
      <c r="C170" s="1">
        <f>INDEX(fields[column],MATCH(games[[#This Row],[field]],fields[field],0))</f>
        <v>4</v>
      </c>
      <c r="D170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70" s="40" t="str">
        <f ca="1">IF(LEN(games[[#This Row],[pair]])=3,MID(games[[#This Row],[pair]],2,1),"")</f>
        <v/>
      </c>
      <c r="F170" s="1">
        <f t="array" ref="F170">MATCH(1,(pages!$A$1:$A$957=games[[#This Row],[r]])*(pages!$B$1:$B$957=games[[#This Row],[field]]),0)</f>
        <v>188</v>
      </c>
      <c r="G170" s="1" t="b">
        <f>INDEX(pages!$L$1:$L$957,games[[#This Row],[ind]])</f>
        <v>0</v>
      </c>
      <c r="H170" s="1" t="str">
        <f ca="1">_xlfn.IFNA(IF(LEN(games[[#This Row],[pair]])=3,INDEX(teams[id],MATCH(LEFT(games[[#This Row],[pair]]),teams[char],0)),""),"")</f>
        <v/>
      </c>
      <c r="I170" s="1" t="str">
        <f ca="1">_xlfn.IFNA(IF(LEN(games[[#This Row],[pair]])=3,INDEX(teams[id],MATCH(RIGHT(games[[#This Row],[pair]]),teams[char],0)),""),"")</f>
        <v/>
      </c>
      <c r="J170" s="1" t="str">
        <f>IF(games[[#This Row],[played]],INDEX(pages!$I$1:$I$759,games[[#This Row],[ind]]),"")</f>
        <v/>
      </c>
      <c r="K170" s="1" t="str">
        <f>IF(games[[#This Row],[played]],INDEX(pages!$J$1:$J$759,games[[#This Row],[ind]]),"")</f>
        <v/>
      </c>
      <c r="L170" s="40" t="str">
        <f ca="1">INDEX(fields[char],MATCH(games[[#This Row],[field]],fields[field],0))&amp;IF(games[[#This Row],[tag]]="-","","("&amp;games[[#This Row],[tag]]&amp;")")</f>
        <v>v()</v>
      </c>
    </row>
    <row r="171" spans="1:12" x14ac:dyDescent="0.35">
      <c r="A171" s="1">
        <f t="shared" si="2"/>
        <v>34</v>
      </c>
      <c r="B171" s="1" t="s">
        <v>54</v>
      </c>
      <c r="C171" s="1">
        <f>INDEX(fields[column],MATCH(games[[#This Row],[field]],fields[field],0))</f>
        <v>5</v>
      </c>
      <c r="D171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71" s="40" t="str">
        <f ca="1">IF(LEN(games[[#This Row],[pair]])=3,MID(games[[#This Row],[pair]],2,1),"")</f>
        <v/>
      </c>
      <c r="F171" s="1">
        <f t="array" ref="F171">MATCH(1,(pages!$A$1:$A$957=games[[#This Row],[r]])*(pages!$B$1:$B$957=games[[#This Row],[field]]),0)</f>
        <v>189</v>
      </c>
      <c r="G171" s="1" t="b">
        <f>INDEX(pages!$L$1:$L$957,games[[#This Row],[ind]])</f>
        <v>0</v>
      </c>
      <c r="H171" s="1" t="str">
        <f ca="1">_xlfn.IFNA(IF(LEN(games[[#This Row],[pair]])=3,INDEX(teams[id],MATCH(LEFT(games[[#This Row],[pair]]),teams[char],0)),""),"")</f>
        <v/>
      </c>
      <c r="I171" s="1" t="str">
        <f ca="1">_xlfn.IFNA(IF(LEN(games[[#This Row],[pair]])=3,INDEX(teams[id],MATCH(RIGHT(games[[#This Row],[pair]]),teams[char],0)),""),"")</f>
        <v/>
      </c>
      <c r="J171" s="1" t="str">
        <f>IF(games[[#This Row],[played]],INDEX(pages!$I$1:$I$759,games[[#This Row],[ind]]),"")</f>
        <v/>
      </c>
      <c r="K171" s="1" t="str">
        <f>IF(games[[#This Row],[played]],INDEX(pages!$J$1:$J$759,games[[#This Row],[ind]]),"")</f>
        <v/>
      </c>
      <c r="L171" s="40" t="str">
        <f ca="1">INDEX(fields[char],MATCH(games[[#This Row],[field]],fields[field],0))&amp;IF(games[[#This Row],[tag]]="-","","("&amp;games[[#This Row],[tag]]&amp;")")</f>
        <v>m()</v>
      </c>
    </row>
    <row r="172" spans="1:12" x14ac:dyDescent="0.35">
      <c r="A172" s="1">
        <f>A167+1</f>
        <v>35</v>
      </c>
      <c r="B172" s="1" t="s">
        <v>3</v>
      </c>
      <c r="C172" s="1">
        <f>INDEX(fields[column],MATCH(games[[#This Row],[field]],fields[field],0))</f>
        <v>1</v>
      </c>
      <c r="D172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72" s="40" t="str">
        <f ca="1">IF(LEN(games[[#This Row],[pair]])=3,MID(games[[#This Row],[pair]],2,1),"")</f>
        <v/>
      </c>
      <c r="F172" s="1">
        <f t="array" ref="F172">MATCH(1,(pages!$A$1:$A$957=games[[#This Row],[r]])*(pages!$B$1:$B$957=games[[#This Row],[field]]),0)</f>
        <v>190</v>
      </c>
      <c r="G172" s="1" t="b">
        <f>INDEX(pages!$L$1:$L$957,games[[#This Row],[ind]])</f>
        <v>0</v>
      </c>
      <c r="H172" s="1" t="str">
        <f ca="1">_xlfn.IFNA(IF(LEN(games[[#This Row],[pair]])=3,INDEX(teams[id],MATCH(LEFT(games[[#This Row],[pair]]),teams[char],0)),""),"")</f>
        <v/>
      </c>
      <c r="I172" s="1" t="str">
        <f ca="1">_xlfn.IFNA(IF(LEN(games[[#This Row],[pair]])=3,INDEX(teams[id],MATCH(RIGHT(games[[#This Row],[pair]]),teams[char],0)),""),"")</f>
        <v/>
      </c>
      <c r="J172" s="1" t="str">
        <f>IF(games[[#This Row],[played]],INDEX(pages!$I$1:$I$759,games[[#This Row],[ind]]),"")</f>
        <v/>
      </c>
      <c r="K172" s="1" t="str">
        <f>IF(games[[#This Row],[played]],INDEX(pages!$J$1:$J$759,games[[#This Row],[ind]]),"")</f>
        <v/>
      </c>
      <c r="L172" s="40" t="str">
        <f ca="1">INDEX(fields[char],MATCH(games[[#This Row],[field]],fields[field],0))&amp;IF(games[[#This Row],[tag]]="-","","("&amp;games[[#This Row],[tag]]&amp;")")</f>
        <v>p()</v>
      </c>
    </row>
    <row r="173" spans="1:12" x14ac:dyDescent="0.35">
      <c r="A173" s="1">
        <f t="shared" ref="A173:A191" si="3">A168+1</f>
        <v>35</v>
      </c>
      <c r="B173" s="1" t="s">
        <v>4</v>
      </c>
      <c r="C173" s="1">
        <f>INDEX(fields[column],MATCH(games[[#This Row],[field]],fields[field],0))</f>
        <v>2</v>
      </c>
      <c r="D173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73" s="40" t="str">
        <f ca="1">IF(LEN(games[[#This Row],[pair]])=3,MID(games[[#This Row],[pair]],2,1),"")</f>
        <v/>
      </c>
      <c r="F173" s="1">
        <f t="array" ref="F173">MATCH(1,(pages!$A$1:$A$957=games[[#This Row],[r]])*(pages!$B$1:$B$957=games[[#This Row],[field]]),0)</f>
        <v>191</v>
      </c>
      <c r="G173" s="1" t="b">
        <f>INDEX(pages!$L$1:$L$957,games[[#This Row],[ind]])</f>
        <v>0</v>
      </c>
      <c r="H173" s="1" t="str">
        <f ca="1">_xlfn.IFNA(IF(LEN(games[[#This Row],[pair]])=3,INDEX(teams[id],MATCH(LEFT(games[[#This Row],[pair]]),teams[char],0)),""),"")</f>
        <v/>
      </c>
      <c r="I173" s="1" t="str">
        <f ca="1">_xlfn.IFNA(IF(LEN(games[[#This Row],[pair]])=3,INDEX(teams[id],MATCH(RIGHT(games[[#This Row],[pair]]),teams[char],0)),""),"")</f>
        <v/>
      </c>
      <c r="J173" s="1" t="str">
        <f>IF(games[[#This Row],[played]],INDEX(pages!$I$1:$I$759,games[[#This Row],[ind]]),"")</f>
        <v/>
      </c>
      <c r="K173" s="1" t="str">
        <f>IF(games[[#This Row],[played]],INDEX(pages!$J$1:$J$759,games[[#This Row],[ind]]),"")</f>
        <v/>
      </c>
      <c r="L173" s="40" t="str">
        <f ca="1">INDEX(fields[char],MATCH(games[[#This Row],[field]],fields[field],0))&amp;IF(games[[#This Row],[tag]]="-","","("&amp;games[[#This Row],[tag]]&amp;")")</f>
        <v>p()</v>
      </c>
    </row>
    <row r="174" spans="1:12" x14ac:dyDescent="0.35">
      <c r="A174" s="1">
        <f t="shared" si="3"/>
        <v>35</v>
      </c>
      <c r="B174" s="1" t="s">
        <v>5</v>
      </c>
      <c r="C174" s="1">
        <f>INDEX(fields[column],MATCH(games[[#This Row],[field]],fields[field],0))</f>
        <v>3</v>
      </c>
      <c r="D174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74" s="40" t="str">
        <f ca="1">IF(LEN(games[[#This Row],[pair]])=3,MID(games[[#This Row],[pair]],2,1),"")</f>
        <v/>
      </c>
      <c r="F174" s="1">
        <f t="array" ref="F174">MATCH(1,(pages!$A$1:$A$957=games[[#This Row],[r]])*(pages!$B$1:$B$957=games[[#This Row],[field]]),0)</f>
        <v>192</v>
      </c>
      <c r="G174" s="1" t="b">
        <f>INDEX(pages!$L$1:$L$957,games[[#This Row],[ind]])</f>
        <v>0</v>
      </c>
      <c r="H174" s="1" t="str">
        <f ca="1">_xlfn.IFNA(IF(LEN(games[[#This Row],[pair]])=3,INDEX(teams[id],MATCH(LEFT(games[[#This Row],[pair]]),teams[char],0)),""),"")</f>
        <v/>
      </c>
      <c r="I174" s="1" t="str">
        <f ca="1">_xlfn.IFNA(IF(LEN(games[[#This Row],[pair]])=3,INDEX(teams[id],MATCH(RIGHT(games[[#This Row],[pair]]),teams[char],0)),""),"")</f>
        <v/>
      </c>
      <c r="J174" s="1" t="str">
        <f>IF(games[[#This Row],[played]],INDEX(pages!$I$1:$I$759,games[[#This Row],[ind]]),"")</f>
        <v/>
      </c>
      <c r="K174" s="1" t="str">
        <f>IF(games[[#This Row],[played]],INDEX(pages!$J$1:$J$759,games[[#This Row],[ind]]),"")</f>
        <v/>
      </c>
      <c r="L174" s="40" t="str">
        <f ca="1">INDEX(fields[char],MATCH(games[[#This Row],[field]],fields[field],0))&amp;IF(games[[#This Row],[tag]]="-","","("&amp;games[[#This Row],[tag]]&amp;")")</f>
        <v>k()</v>
      </c>
    </row>
    <row r="175" spans="1:12" x14ac:dyDescent="0.35">
      <c r="A175" s="1">
        <f t="shared" si="3"/>
        <v>35</v>
      </c>
      <c r="B175" s="1" t="s">
        <v>53</v>
      </c>
      <c r="C175" s="1">
        <f>INDEX(fields[column],MATCH(games[[#This Row],[field]],fields[field],0))</f>
        <v>4</v>
      </c>
      <c r="D175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75" s="40" t="str">
        <f ca="1">IF(LEN(games[[#This Row],[pair]])=3,MID(games[[#This Row],[pair]],2,1),"")</f>
        <v/>
      </c>
      <c r="F175" s="1">
        <f t="array" ref="F175">MATCH(1,(pages!$A$1:$A$957=games[[#This Row],[r]])*(pages!$B$1:$B$957=games[[#This Row],[field]]),0)</f>
        <v>193</v>
      </c>
      <c r="G175" s="1" t="b">
        <f>INDEX(pages!$L$1:$L$957,games[[#This Row],[ind]])</f>
        <v>0</v>
      </c>
      <c r="H175" s="1" t="str">
        <f ca="1">_xlfn.IFNA(IF(LEN(games[[#This Row],[pair]])=3,INDEX(teams[id],MATCH(LEFT(games[[#This Row],[pair]]),teams[char],0)),""),"")</f>
        <v/>
      </c>
      <c r="I175" s="1" t="str">
        <f ca="1">_xlfn.IFNA(IF(LEN(games[[#This Row],[pair]])=3,INDEX(teams[id],MATCH(RIGHT(games[[#This Row],[pair]]),teams[char],0)),""),"")</f>
        <v/>
      </c>
      <c r="J175" s="1" t="str">
        <f>IF(games[[#This Row],[played]],INDEX(pages!$I$1:$I$759,games[[#This Row],[ind]]),"")</f>
        <v/>
      </c>
      <c r="K175" s="1" t="str">
        <f>IF(games[[#This Row],[played]],INDEX(pages!$J$1:$J$759,games[[#This Row],[ind]]),"")</f>
        <v/>
      </c>
      <c r="L175" s="40" t="str">
        <f ca="1">INDEX(fields[char],MATCH(games[[#This Row],[field]],fields[field],0))&amp;IF(games[[#This Row],[tag]]="-","","("&amp;games[[#This Row],[tag]]&amp;")")</f>
        <v>v()</v>
      </c>
    </row>
    <row r="176" spans="1:12" x14ac:dyDescent="0.35">
      <c r="A176" s="1">
        <f t="shared" si="3"/>
        <v>35</v>
      </c>
      <c r="B176" s="1" t="s">
        <v>54</v>
      </c>
      <c r="C176" s="1">
        <f>INDEX(fields[column],MATCH(games[[#This Row],[field]],fields[field],0))</f>
        <v>5</v>
      </c>
      <c r="D176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76" s="40" t="str">
        <f ca="1">IF(LEN(games[[#This Row],[pair]])=3,MID(games[[#This Row],[pair]],2,1),"")</f>
        <v/>
      </c>
      <c r="F176" s="1">
        <f t="array" ref="F176">MATCH(1,(pages!$A$1:$A$957=games[[#This Row],[r]])*(pages!$B$1:$B$957=games[[#This Row],[field]]),0)</f>
        <v>194</v>
      </c>
      <c r="G176" s="1" t="b">
        <f>INDEX(pages!$L$1:$L$957,games[[#This Row],[ind]])</f>
        <v>0</v>
      </c>
      <c r="H176" s="1" t="str">
        <f ca="1">_xlfn.IFNA(IF(LEN(games[[#This Row],[pair]])=3,INDEX(teams[id],MATCH(LEFT(games[[#This Row],[pair]]),teams[char],0)),""),"")</f>
        <v/>
      </c>
      <c r="I176" s="1" t="str">
        <f ca="1">_xlfn.IFNA(IF(LEN(games[[#This Row],[pair]])=3,INDEX(teams[id],MATCH(RIGHT(games[[#This Row],[pair]]),teams[char],0)),""),"")</f>
        <v/>
      </c>
      <c r="J176" s="1" t="str">
        <f>IF(games[[#This Row],[played]],INDEX(pages!$I$1:$I$759,games[[#This Row],[ind]]),"")</f>
        <v/>
      </c>
      <c r="K176" s="1" t="str">
        <f>IF(games[[#This Row],[played]],INDEX(pages!$J$1:$J$759,games[[#This Row],[ind]]),"")</f>
        <v/>
      </c>
      <c r="L176" s="40" t="str">
        <f ca="1">INDEX(fields[char],MATCH(games[[#This Row],[field]],fields[field],0))&amp;IF(games[[#This Row],[tag]]="-","","("&amp;games[[#This Row],[tag]]&amp;")")</f>
        <v>m()</v>
      </c>
    </row>
    <row r="177" spans="1:12" x14ac:dyDescent="0.35">
      <c r="A177" s="1">
        <f>A172+1</f>
        <v>36</v>
      </c>
      <c r="B177" s="1" t="s">
        <v>3</v>
      </c>
      <c r="C177" s="1">
        <f>INDEX(fields[column],MATCH(games[[#This Row],[field]],fields[field],0))</f>
        <v>1</v>
      </c>
      <c r="D177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77" s="40" t="str">
        <f ca="1">IF(LEN(games[[#This Row],[pair]])=3,MID(games[[#This Row],[pair]],2,1),"")</f>
        <v/>
      </c>
      <c r="F177" s="1">
        <f t="array" ref="F177">MATCH(1,(pages!$A$1:$A$957=games[[#This Row],[r]])*(pages!$B$1:$B$957=games[[#This Row],[field]]),0)</f>
        <v>195</v>
      </c>
      <c r="G177" s="1" t="b">
        <f>INDEX(pages!$L$1:$L$957,games[[#This Row],[ind]])</f>
        <v>0</v>
      </c>
      <c r="H177" s="1" t="str">
        <f ca="1">_xlfn.IFNA(IF(LEN(games[[#This Row],[pair]])=3,INDEX(teams[id],MATCH(LEFT(games[[#This Row],[pair]]),teams[char],0)),""),"")</f>
        <v/>
      </c>
      <c r="I177" s="1" t="str">
        <f ca="1">_xlfn.IFNA(IF(LEN(games[[#This Row],[pair]])=3,INDEX(teams[id],MATCH(RIGHT(games[[#This Row],[pair]]),teams[char],0)),""),"")</f>
        <v/>
      </c>
      <c r="J177" s="1" t="str">
        <f>IF(games[[#This Row],[played]],INDEX(pages!$I$1:$I$759,games[[#This Row],[ind]]),"")</f>
        <v/>
      </c>
      <c r="K177" s="1" t="str">
        <f>IF(games[[#This Row],[played]],INDEX(pages!$J$1:$J$759,games[[#This Row],[ind]]),"")</f>
        <v/>
      </c>
      <c r="L177" s="40" t="str">
        <f ca="1">INDEX(fields[char],MATCH(games[[#This Row],[field]],fields[field],0))&amp;IF(games[[#This Row],[tag]]="-","","("&amp;games[[#This Row],[tag]]&amp;")")</f>
        <v>p()</v>
      </c>
    </row>
    <row r="178" spans="1:12" x14ac:dyDescent="0.35">
      <c r="A178" s="1">
        <f t="shared" si="3"/>
        <v>36</v>
      </c>
      <c r="B178" s="1" t="s">
        <v>4</v>
      </c>
      <c r="C178" s="1">
        <f>INDEX(fields[column],MATCH(games[[#This Row],[field]],fields[field],0))</f>
        <v>2</v>
      </c>
      <c r="D178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78" s="40" t="str">
        <f ca="1">IF(LEN(games[[#This Row],[pair]])=3,MID(games[[#This Row],[pair]],2,1),"")</f>
        <v/>
      </c>
      <c r="F178" s="1">
        <f t="array" ref="F178">MATCH(1,(pages!$A$1:$A$957=games[[#This Row],[r]])*(pages!$B$1:$B$957=games[[#This Row],[field]]),0)</f>
        <v>196</v>
      </c>
      <c r="G178" s="1" t="b">
        <f>INDEX(pages!$L$1:$L$957,games[[#This Row],[ind]])</f>
        <v>0</v>
      </c>
      <c r="H178" s="1" t="str">
        <f ca="1">_xlfn.IFNA(IF(LEN(games[[#This Row],[pair]])=3,INDEX(teams[id],MATCH(LEFT(games[[#This Row],[pair]]),teams[char],0)),""),"")</f>
        <v/>
      </c>
      <c r="I178" s="1" t="str">
        <f ca="1">_xlfn.IFNA(IF(LEN(games[[#This Row],[pair]])=3,INDEX(teams[id],MATCH(RIGHT(games[[#This Row],[pair]]),teams[char],0)),""),"")</f>
        <v/>
      </c>
      <c r="J178" s="1" t="str">
        <f>IF(games[[#This Row],[played]],INDEX(pages!$I$1:$I$759,games[[#This Row],[ind]]),"")</f>
        <v/>
      </c>
      <c r="K178" s="1" t="str">
        <f>IF(games[[#This Row],[played]],INDEX(pages!$J$1:$J$759,games[[#This Row],[ind]]),"")</f>
        <v/>
      </c>
      <c r="L178" s="40" t="str">
        <f ca="1">INDEX(fields[char],MATCH(games[[#This Row],[field]],fields[field],0))&amp;IF(games[[#This Row],[tag]]="-","","("&amp;games[[#This Row],[tag]]&amp;")")</f>
        <v>p()</v>
      </c>
    </row>
    <row r="179" spans="1:12" x14ac:dyDescent="0.35">
      <c r="A179" s="1">
        <f t="shared" si="3"/>
        <v>36</v>
      </c>
      <c r="B179" s="1" t="s">
        <v>5</v>
      </c>
      <c r="C179" s="1">
        <f>INDEX(fields[column],MATCH(games[[#This Row],[field]],fields[field],0))</f>
        <v>3</v>
      </c>
      <c r="D179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79" s="40" t="str">
        <f ca="1">IF(LEN(games[[#This Row],[pair]])=3,MID(games[[#This Row],[pair]],2,1),"")</f>
        <v/>
      </c>
      <c r="F179" s="1">
        <f t="array" ref="F179">MATCH(1,(pages!$A$1:$A$957=games[[#This Row],[r]])*(pages!$B$1:$B$957=games[[#This Row],[field]]),0)</f>
        <v>197</v>
      </c>
      <c r="G179" s="1" t="b">
        <f>INDEX(pages!$L$1:$L$957,games[[#This Row],[ind]])</f>
        <v>0</v>
      </c>
      <c r="H179" s="1" t="str">
        <f ca="1">_xlfn.IFNA(IF(LEN(games[[#This Row],[pair]])=3,INDEX(teams[id],MATCH(LEFT(games[[#This Row],[pair]]),teams[char],0)),""),"")</f>
        <v/>
      </c>
      <c r="I179" s="1" t="str">
        <f ca="1">_xlfn.IFNA(IF(LEN(games[[#This Row],[pair]])=3,INDEX(teams[id],MATCH(RIGHT(games[[#This Row],[pair]]),teams[char],0)),""),"")</f>
        <v/>
      </c>
      <c r="J179" s="1" t="str">
        <f>IF(games[[#This Row],[played]],INDEX(pages!$I$1:$I$759,games[[#This Row],[ind]]),"")</f>
        <v/>
      </c>
      <c r="K179" s="1" t="str">
        <f>IF(games[[#This Row],[played]],INDEX(pages!$J$1:$J$759,games[[#This Row],[ind]]),"")</f>
        <v/>
      </c>
      <c r="L179" s="40" t="str">
        <f ca="1">INDEX(fields[char],MATCH(games[[#This Row],[field]],fields[field],0))&amp;IF(games[[#This Row],[tag]]="-","","("&amp;games[[#This Row],[tag]]&amp;")")</f>
        <v>k()</v>
      </c>
    </row>
    <row r="180" spans="1:12" x14ac:dyDescent="0.35">
      <c r="A180" s="1">
        <f t="shared" si="3"/>
        <v>36</v>
      </c>
      <c r="B180" s="1" t="s">
        <v>53</v>
      </c>
      <c r="C180" s="1">
        <f>INDEX(fields[column],MATCH(games[[#This Row],[field]],fields[field],0))</f>
        <v>4</v>
      </c>
      <c r="D180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80" s="40" t="str">
        <f ca="1">IF(LEN(games[[#This Row],[pair]])=3,MID(games[[#This Row],[pair]],2,1),"")</f>
        <v/>
      </c>
      <c r="F180" s="1">
        <f t="array" ref="F180">MATCH(1,(pages!$A$1:$A$957=games[[#This Row],[r]])*(pages!$B$1:$B$957=games[[#This Row],[field]]),0)</f>
        <v>198</v>
      </c>
      <c r="G180" s="1" t="b">
        <f>INDEX(pages!$L$1:$L$957,games[[#This Row],[ind]])</f>
        <v>0</v>
      </c>
      <c r="H180" s="1" t="str">
        <f ca="1">_xlfn.IFNA(IF(LEN(games[[#This Row],[pair]])=3,INDEX(teams[id],MATCH(LEFT(games[[#This Row],[pair]]),teams[char],0)),""),"")</f>
        <v/>
      </c>
      <c r="I180" s="1" t="str">
        <f ca="1">_xlfn.IFNA(IF(LEN(games[[#This Row],[pair]])=3,INDEX(teams[id],MATCH(RIGHT(games[[#This Row],[pair]]),teams[char],0)),""),"")</f>
        <v/>
      </c>
      <c r="J180" s="1" t="str">
        <f>IF(games[[#This Row],[played]],INDEX(pages!$I$1:$I$759,games[[#This Row],[ind]]),"")</f>
        <v/>
      </c>
      <c r="K180" s="1" t="str">
        <f>IF(games[[#This Row],[played]],INDEX(pages!$J$1:$J$759,games[[#This Row],[ind]]),"")</f>
        <v/>
      </c>
      <c r="L180" s="40" t="str">
        <f ca="1">INDEX(fields[char],MATCH(games[[#This Row],[field]],fields[field],0))&amp;IF(games[[#This Row],[tag]]="-","","("&amp;games[[#This Row],[tag]]&amp;")")</f>
        <v>v()</v>
      </c>
    </row>
    <row r="181" spans="1:12" x14ac:dyDescent="0.35">
      <c r="A181" s="1">
        <f t="shared" si="3"/>
        <v>36</v>
      </c>
      <c r="B181" s="1" t="s">
        <v>54</v>
      </c>
      <c r="C181" s="1">
        <f>INDEX(fields[column],MATCH(games[[#This Row],[field]],fields[field],0))</f>
        <v>5</v>
      </c>
      <c r="D181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81" s="40" t="str">
        <f ca="1">IF(LEN(games[[#This Row],[pair]])=3,MID(games[[#This Row],[pair]],2,1),"")</f>
        <v/>
      </c>
      <c r="F181" s="1">
        <f t="array" ref="F181">MATCH(1,(pages!$A$1:$A$957=games[[#This Row],[r]])*(pages!$B$1:$B$957=games[[#This Row],[field]]),0)</f>
        <v>199</v>
      </c>
      <c r="G181" s="1" t="b">
        <f>INDEX(pages!$L$1:$L$957,games[[#This Row],[ind]])</f>
        <v>0</v>
      </c>
      <c r="H181" s="1" t="str">
        <f ca="1">_xlfn.IFNA(IF(LEN(games[[#This Row],[pair]])=3,INDEX(teams[id],MATCH(LEFT(games[[#This Row],[pair]]),teams[char],0)),""),"")</f>
        <v/>
      </c>
      <c r="I181" s="1" t="str">
        <f ca="1">_xlfn.IFNA(IF(LEN(games[[#This Row],[pair]])=3,INDEX(teams[id],MATCH(RIGHT(games[[#This Row],[pair]]),teams[char],0)),""),"")</f>
        <v/>
      </c>
      <c r="J181" s="1" t="str">
        <f>IF(games[[#This Row],[played]],INDEX(pages!$I$1:$I$759,games[[#This Row],[ind]]),"")</f>
        <v/>
      </c>
      <c r="K181" s="1" t="str">
        <f>IF(games[[#This Row],[played]],INDEX(pages!$J$1:$J$759,games[[#This Row],[ind]]),"")</f>
        <v/>
      </c>
      <c r="L181" s="40" t="str">
        <f ca="1">INDEX(fields[char],MATCH(games[[#This Row],[field]],fields[field],0))&amp;IF(games[[#This Row],[tag]]="-","","("&amp;games[[#This Row],[tag]]&amp;")")</f>
        <v>m()</v>
      </c>
    </row>
    <row r="182" spans="1:12" x14ac:dyDescent="0.35">
      <c r="A182" s="1">
        <f t="shared" si="3"/>
        <v>37</v>
      </c>
      <c r="B182" s="1" t="s">
        <v>3</v>
      </c>
      <c r="C182" s="1">
        <f>INDEX(fields[column],MATCH(games[[#This Row],[field]],fields[field],0))</f>
        <v>1</v>
      </c>
      <c r="D182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82" s="40" t="str">
        <f ca="1">IF(LEN(games[[#This Row],[pair]])=3,MID(games[[#This Row],[pair]],2,1),"")</f>
        <v/>
      </c>
      <c r="F182" s="1">
        <f t="array" ref="F182">MATCH(1,(pages!$A$1:$A$957=games[[#This Row],[r]])*(pages!$B$1:$B$957=games[[#This Row],[field]]),0)</f>
        <v>202</v>
      </c>
      <c r="G182" s="1" t="b">
        <f>INDEX(pages!$L$1:$L$957,games[[#This Row],[ind]])</f>
        <v>0</v>
      </c>
      <c r="H182" s="1" t="str">
        <f ca="1">_xlfn.IFNA(IF(LEN(games[[#This Row],[pair]])=3,INDEX(teams[id],MATCH(LEFT(games[[#This Row],[pair]]),teams[char],0)),""),"")</f>
        <v/>
      </c>
      <c r="I182" s="1" t="str">
        <f ca="1">_xlfn.IFNA(IF(LEN(games[[#This Row],[pair]])=3,INDEX(teams[id],MATCH(RIGHT(games[[#This Row],[pair]]),teams[char],0)),""),"")</f>
        <v/>
      </c>
      <c r="J182" s="1" t="str">
        <f>IF(games[[#This Row],[played]],INDEX(pages!$I$1:$I$759,games[[#This Row],[ind]]),"")</f>
        <v/>
      </c>
      <c r="K182" s="1" t="str">
        <f>IF(games[[#This Row],[played]],INDEX(pages!$J$1:$J$759,games[[#This Row],[ind]]),"")</f>
        <v/>
      </c>
      <c r="L182" s="40" t="str">
        <f ca="1">INDEX(fields[char],MATCH(games[[#This Row],[field]],fields[field],0))&amp;IF(games[[#This Row],[tag]]="-","","("&amp;games[[#This Row],[tag]]&amp;")")</f>
        <v>p()</v>
      </c>
    </row>
    <row r="183" spans="1:12" x14ac:dyDescent="0.35">
      <c r="A183" s="1">
        <f t="shared" si="3"/>
        <v>37</v>
      </c>
      <c r="B183" s="1" t="s">
        <v>4</v>
      </c>
      <c r="C183" s="1">
        <f>INDEX(fields[column],MATCH(games[[#This Row],[field]],fields[field],0))</f>
        <v>2</v>
      </c>
      <c r="D183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83" s="40" t="str">
        <f ca="1">IF(LEN(games[[#This Row],[pair]])=3,MID(games[[#This Row],[pair]],2,1),"")</f>
        <v/>
      </c>
      <c r="F183" s="1">
        <f t="array" ref="F183">MATCH(1,(pages!$A$1:$A$957=games[[#This Row],[r]])*(pages!$B$1:$B$957=games[[#This Row],[field]]),0)</f>
        <v>203</v>
      </c>
      <c r="G183" s="1" t="b">
        <f>INDEX(pages!$L$1:$L$957,games[[#This Row],[ind]])</f>
        <v>0</v>
      </c>
      <c r="H183" s="1" t="str">
        <f ca="1">_xlfn.IFNA(IF(LEN(games[[#This Row],[pair]])=3,INDEX(teams[id],MATCH(LEFT(games[[#This Row],[pair]]),teams[char],0)),""),"")</f>
        <v/>
      </c>
      <c r="I183" s="1" t="str">
        <f ca="1">_xlfn.IFNA(IF(LEN(games[[#This Row],[pair]])=3,INDEX(teams[id],MATCH(RIGHT(games[[#This Row],[pair]]),teams[char],0)),""),"")</f>
        <v/>
      </c>
      <c r="J183" s="1" t="str">
        <f>IF(games[[#This Row],[played]],INDEX(pages!$I$1:$I$759,games[[#This Row],[ind]]),"")</f>
        <v/>
      </c>
      <c r="K183" s="1" t="str">
        <f>IF(games[[#This Row],[played]],INDEX(pages!$J$1:$J$759,games[[#This Row],[ind]]),"")</f>
        <v/>
      </c>
      <c r="L183" s="40" t="str">
        <f ca="1">INDEX(fields[char],MATCH(games[[#This Row],[field]],fields[field],0))&amp;IF(games[[#This Row],[tag]]="-","","("&amp;games[[#This Row],[tag]]&amp;")")</f>
        <v>p()</v>
      </c>
    </row>
    <row r="184" spans="1:12" x14ac:dyDescent="0.35">
      <c r="A184" s="1">
        <f t="shared" si="3"/>
        <v>37</v>
      </c>
      <c r="B184" s="1" t="s">
        <v>5</v>
      </c>
      <c r="C184" s="1">
        <f>INDEX(fields[column],MATCH(games[[#This Row],[field]],fields[field],0))</f>
        <v>3</v>
      </c>
      <c r="D184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84" s="40" t="str">
        <f ca="1">IF(LEN(games[[#This Row],[pair]])=3,MID(games[[#This Row],[pair]],2,1),"")</f>
        <v/>
      </c>
      <c r="F184" s="1">
        <f t="array" ref="F184">MATCH(1,(pages!$A$1:$A$957=games[[#This Row],[r]])*(pages!$B$1:$B$957=games[[#This Row],[field]]),0)</f>
        <v>204</v>
      </c>
      <c r="G184" s="1" t="b">
        <f>INDEX(pages!$L$1:$L$957,games[[#This Row],[ind]])</f>
        <v>0</v>
      </c>
      <c r="H184" s="1" t="str">
        <f ca="1">_xlfn.IFNA(IF(LEN(games[[#This Row],[pair]])=3,INDEX(teams[id],MATCH(LEFT(games[[#This Row],[pair]]),teams[char],0)),""),"")</f>
        <v/>
      </c>
      <c r="I184" s="1" t="str">
        <f ca="1">_xlfn.IFNA(IF(LEN(games[[#This Row],[pair]])=3,INDEX(teams[id],MATCH(RIGHT(games[[#This Row],[pair]]),teams[char],0)),""),"")</f>
        <v/>
      </c>
      <c r="J184" s="1" t="str">
        <f>IF(games[[#This Row],[played]],INDEX(pages!$I$1:$I$759,games[[#This Row],[ind]]),"")</f>
        <v/>
      </c>
      <c r="K184" s="1" t="str">
        <f>IF(games[[#This Row],[played]],INDEX(pages!$J$1:$J$759,games[[#This Row],[ind]]),"")</f>
        <v/>
      </c>
      <c r="L184" s="40" t="str">
        <f ca="1">INDEX(fields[char],MATCH(games[[#This Row],[field]],fields[field],0))&amp;IF(games[[#This Row],[tag]]="-","","("&amp;games[[#This Row],[tag]]&amp;")")</f>
        <v>k()</v>
      </c>
    </row>
    <row r="185" spans="1:12" x14ac:dyDescent="0.35">
      <c r="A185" s="1">
        <f t="shared" si="3"/>
        <v>37</v>
      </c>
      <c r="B185" s="1" t="s">
        <v>53</v>
      </c>
      <c r="C185" s="1">
        <f>INDEX(fields[column],MATCH(games[[#This Row],[field]],fields[field],0))</f>
        <v>4</v>
      </c>
      <c r="D185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85" s="40" t="str">
        <f ca="1">IF(LEN(games[[#This Row],[pair]])=3,MID(games[[#This Row],[pair]],2,1),"")</f>
        <v/>
      </c>
      <c r="F185" s="1">
        <f t="array" ref="F185">MATCH(1,(pages!$A$1:$A$957=games[[#This Row],[r]])*(pages!$B$1:$B$957=games[[#This Row],[field]]),0)</f>
        <v>205</v>
      </c>
      <c r="G185" s="1" t="b">
        <f>INDEX(pages!$L$1:$L$957,games[[#This Row],[ind]])</f>
        <v>0</v>
      </c>
      <c r="H185" s="1" t="str">
        <f ca="1">_xlfn.IFNA(IF(LEN(games[[#This Row],[pair]])=3,INDEX(teams[id],MATCH(LEFT(games[[#This Row],[pair]]),teams[char],0)),""),"")</f>
        <v/>
      </c>
      <c r="I185" s="1" t="str">
        <f ca="1">_xlfn.IFNA(IF(LEN(games[[#This Row],[pair]])=3,INDEX(teams[id],MATCH(RIGHT(games[[#This Row],[pair]]),teams[char],0)),""),"")</f>
        <v/>
      </c>
      <c r="J185" s="1" t="str">
        <f>IF(games[[#This Row],[played]],INDEX(pages!$I$1:$I$759,games[[#This Row],[ind]]),"")</f>
        <v/>
      </c>
      <c r="K185" s="1" t="str">
        <f>IF(games[[#This Row],[played]],INDEX(pages!$J$1:$J$759,games[[#This Row],[ind]]),"")</f>
        <v/>
      </c>
      <c r="L185" s="40" t="str">
        <f ca="1">INDEX(fields[char],MATCH(games[[#This Row],[field]],fields[field],0))&amp;IF(games[[#This Row],[tag]]="-","","("&amp;games[[#This Row],[tag]]&amp;")")</f>
        <v>v()</v>
      </c>
    </row>
    <row r="186" spans="1:12" x14ac:dyDescent="0.35">
      <c r="A186" s="1">
        <f t="shared" si="3"/>
        <v>37</v>
      </c>
      <c r="B186" s="1" t="s">
        <v>54</v>
      </c>
      <c r="C186" s="1">
        <f>INDEX(fields[column],MATCH(games[[#This Row],[field]],fields[field],0))</f>
        <v>5</v>
      </c>
      <c r="D186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86" s="40" t="str">
        <f ca="1">IF(LEN(games[[#This Row],[pair]])=3,MID(games[[#This Row],[pair]],2,1),"")</f>
        <v/>
      </c>
      <c r="F186" s="1">
        <f t="array" ref="F186">MATCH(1,(pages!$A$1:$A$957=games[[#This Row],[r]])*(pages!$B$1:$B$957=games[[#This Row],[field]]),0)</f>
        <v>206</v>
      </c>
      <c r="G186" s="1" t="b">
        <f>INDEX(pages!$L$1:$L$957,games[[#This Row],[ind]])</f>
        <v>0</v>
      </c>
      <c r="H186" s="1" t="str">
        <f ca="1">_xlfn.IFNA(IF(LEN(games[[#This Row],[pair]])=3,INDEX(teams[id],MATCH(LEFT(games[[#This Row],[pair]]),teams[char],0)),""),"")</f>
        <v/>
      </c>
      <c r="I186" s="1" t="str">
        <f ca="1">_xlfn.IFNA(IF(LEN(games[[#This Row],[pair]])=3,INDEX(teams[id],MATCH(RIGHT(games[[#This Row],[pair]]),teams[char],0)),""),"")</f>
        <v/>
      </c>
      <c r="J186" s="1" t="str">
        <f>IF(games[[#This Row],[played]],INDEX(pages!$I$1:$I$759,games[[#This Row],[ind]]),"")</f>
        <v/>
      </c>
      <c r="K186" s="1" t="str">
        <f>IF(games[[#This Row],[played]],INDEX(pages!$J$1:$J$759,games[[#This Row],[ind]]),"")</f>
        <v/>
      </c>
      <c r="L186" s="40" t="str">
        <f ca="1">INDEX(fields[char],MATCH(games[[#This Row],[field]],fields[field],0))&amp;IF(games[[#This Row],[tag]]="-","","("&amp;games[[#This Row],[tag]]&amp;")")</f>
        <v>m()</v>
      </c>
    </row>
    <row r="187" spans="1:12" x14ac:dyDescent="0.35">
      <c r="A187" s="1">
        <f t="shared" si="3"/>
        <v>38</v>
      </c>
      <c r="B187" s="1" t="s">
        <v>3</v>
      </c>
      <c r="C187" s="1">
        <f>INDEX(fields[column],MATCH(games[[#This Row],[field]],fields[field],0))</f>
        <v>1</v>
      </c>
      <c r="D187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87" s="40" t="str">
        <f ca="1">IF(LEN(games[[#This Row],[pair]])=3,MID(games[[#This Row],[pair]],2,1),"")</f>
        <v/>
      </c>
      <c r="F187" s="1">
        <f t="array" ref="F187">MATCH(1,(pages!$A$1:$A$957=games[[#This Row],[r]])*(pages!$B$1:$B$957=games[[#This Row],[field]]),0)</f>
        <v>207</v>
      </c>
      <c r="G187" s="1" t="b">
        <f>INDEX(pages!$L$1:$L$957,games[[#This Row],[ind]])</f>
        <v>0</v>
      </c>
      <c r="H187" s="1" t="str">
        <f ca="1">_xlfn.IFNA(IF(LEN(games[[#This Row],[pair]])=3,INDEX(teams[id],MATCH(LEFT(games[[#This Row],[pair]]),teams[char],0)),""),"")</f>
        <v/>
      </c>
      <c r="I187" s="1" t="str">
        <f ca="1">_xlfn.IFNA(IF(LEN(games[[#This Row],[pair]])=3,INDEX(teams[id],MATCH(RIGHT(games[[#This Row],[pair]]),teams[char],0)),""),"")</f>
        <v/>
      </c>
      <c r="J187" s="1" t="str">
        <f>IF(games[[#This Row],[played]],INDEX(pages!$I$1:$I$759,games[[#This Row],[ind]]),"")</f>
        <v/>
      </c>
      <c r="K187" s="1" t="str">
        <f>IF(games[[#This Row],[played]],INDEX(pages!$J$1:$J$759,games[[#This Row],[ind]]),"")</f>
        <v/>
      </c>
      <c r="L187" s="40" t="str">
        <f ca="1">INDEX(fields[char],MATCH(games[[#This Row],[field]],fields[field],0))&amp;IF(games[[#This Row],[tag]]="-","","("&amp;games[[#This Row],[tag]]&amp;")")</f>
        <v>p()</v>
      </c>
    </row>
    <row r="188" spans="1:12" x14ac:dyDescent="0.35">
      <c r="A188" s="1">
        <f t="shared" si="3"/>
        <v>38</v>
      </c>
      <c r="B188" s="1" t="s">
        <v>4</v>
      </c>
      <c r="C188" s="1">
        <f>INDEX(fields[column],MATCH(games[[#This Row],[field]],fields[field],0))</f>
        <v>2</v>
      </c>
      <c r="D188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88" s="40" t="str">
        <f ca="1">IF(LEN(games[[#This Row],[pair]])=3,MID(games[[#This Row],[pair]],2,1),"")</f>
        <v/>
      </c>
      <c r="F188" s="1">
        <f t="array" ref="F188">MATCH(1,(pages!$A$1:$A$957=games[[#This Row],[r]])*(pages!$B$1:$B$957=games[[#This Row],[field]]),0)</f>
        <v>208</v>
      </c>
      <c r="G188" s="1" t="b">
        <f>INDEX(pages!$L$1:$L$957,games[[#This Row],[ind]])</f>
        <v>0</v>
      </c>
      <c r="H188" s="1" t="str">
        <f ca="1">_xlfn.IFNA(IF(LEN(games[[#This Row],[pair]])=3,INDEX(teams[id],MATCH(LEFT(games[[#This Row],[pair]]),teams[char],0)),""),"")</f>
        <v/>
      </c>
      <c r="I188" s="1" t="str">
        <f ca="1">_xlfn.IFNA(IF(LEN(games[[#This Row],[pair]])=3,INDEX(teams[id],MATCH(RIGHT(games[[#This Row],[pair]]),teams[char],0)),""),"")</f>
        <v/>
      </c>
      <c r="J188" s="1" t="str">
        <f>IF(games[[#This Row],[played]],INDEX(pages!$I$1:$I$759,games[[#This Row],[ind]]),"")</f>
        <v/>
      </c>
      <c r="K188" s="1" t="str">
        <f>IF(games[[#This Row],[played]],INDEX(pages!$J$1:$J$759,games[[#This Row],[ind]]),"")</f>
        <v/>
      </c>
      <c r="L188" s="40" t="str">
        <f ca="1">INDEX(fields[char],MATCH(games[[#This Row],[field]],fields[field],0))&amp;IF(games[[#This Row],[tag]]="-","","("&amp;games[[#This Row],[tag]]&amp;")")</f>
        <v>p()</v>
      </c>
    </row>
    <row r="189" spans="1:12" x14ac:dyDescent="0.35">
      <c r="A189" s="1">
        <f t="shared" si="3"/>
        <v>38</v>
      </c>
      <c r="B189" s="1" t="s">
        <v>5</v>
      </c>
      <c r="C189" s="1">
        <f>INDEX(fields[column],MATCH(games[[#This Row],[field]],fields[field],0))</f>
        <v>3</v>
      </c>
      <c r="D189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89" s="40" t="str">
        <f ca="1">IF(LEN(games[[#This Row],[pair]])=3,MID(games[[#This Row],[pair]],2,1),"")</f>
        <v/>
      </c>
      <c r="F189" s="1">
        <f t="array" ref="F189">MATCH(1,(pages!$A$1:$A$957=games[[#This Row],[r]])*(pages!$B$1:$B$957=games[[#This Row],[field]]),0)</f>
        <v>209</v>
      </c>
      <c r="G189" s="1" t="b">
        <f>INDEX(pages!$L$1:$L$957,games[[#This Row],[ind]])</f>
        <v>0</v>
      </c>
      <c r="H189" s="1" t="str">
        <f ca="1">_xlfn.IFNA(IF(LEN(games[[#This Row],[pair]])=3,INDEX(teams[id],MATCH(LEFT(games[[#This Row],[pair]]),teams[char],0)),""),"")</f>
        <v/>
      </c>
      <c r="I189" s="1" t="str">
        <f ca="1">_xlfn.IFNA(IF(LEN(games[[#This Row],[pair]])=3,INDEX(teams[id],MATCH(RIGHT(games[[#This Row],[pair]]),teams[char],0)),""),"")</f>
        <v/>
      </c>
      <c r="J189" s="1" t="str">
        <f>IF(games[[#This Row],[played]],INDEX(pages!$I$1:$I$759,games[[#This Row],[ind]]),"")</f>
        <v/>
      </c>
      <c r="K189" s="1" t="str">
        <f>IF(games[[#This Row],[played]],INDEX(pages!$J$1:$J$759,games[[#This Row],[ind]]),"")</f>
        <v/>
      </c>
      <c r="L189" s="40" t="str">
        <f ca="1">INDEX(fields[char],MATCH(games[[#This Row],[field]],fields[field],0))&amp;IF(games[[#This Row],[tag]]="-","","("&amp;games[[#This Row],[tag]]&amp;")")</f>
        <v>k()</v>
      </c>
    </row>
    <row r="190" spans="1:12" x14ac:dyDescent="0.35">
      <c r="A190" s="1">
        <f t="shared" si="3"/>
        <v>38</v>
      </c>
      <c r="B190" s="1" t="s">
        <v>53</v>
      </c>
      <c r="C190" s="1">
        <f>INDEX(fields[column],MATCH(games[[#This Row],[field]],fields[field],0))</f>
        <v>4</v>
      </c>
      <c r="D190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90" s="40" t="str">
        <f ca="1">IF(LEN(games[[#This Row],[pair]])=3,MID(games[[#This Row],[pair]],2,1),"")</f>
        <v/>
      </c>
      <c r="F190" s="1">
        <f t="array" ref="F190">MATCH(1,(pages!$A$1:$A$957=games[[#This Row],[r]])*(pages!$B$1:$B$957=games[[#This Row],[field]]),0)</f>
        <v>210</v>
      </c>
      <c r="G190" s="1" t="b">
        <f>INDEX(pages!$L$1:$L$957,games[[#This Row],[ind]])</f>
        <v>0</v>
      </c>
      <c r="H190" s="1" t="str">
        <f ca="1">_xlfn.IFNA(IF(LEN(games[[#This Row],[pair]])=3,INDEX(teams[id],MATCH(LEFT(games[[#This Row],[pair]]),teams[char],0)),""),"")</f>
        <v/>
      </c>
      <c r="I190" s="1" t="str">
        <f ca="1">_xlfn.IFNA(IF(LEN(games[[#This Row],[pair]])=3,INDEX(teams[id],MATCH(RIGHT(games[[#This Row],[pair]]),teams[char],0)),""),"")</f>
        <v/>
      </c>
      <c r="J190" s="1" t="str">
        <f>IF(games[[#This Row],[played]],INDEX(pages!$I$1:$I$759,games[[#This Row],[ind]]),"")</f>
        <v/>
      </c>
      <c r="K190" s="1" t="str">
        <f>IF(games[[#This Row],[played]],INDEX(pages!$J$1:$J$759,games[[#This Row],[ind]]),"")</f>
        <v/>
      </c>
      <c r="L190" s="40" t="str">
        <f ca="1">INDEX(fields[char],MATCH(games[[#This Row],[field]],fields[field],0))&amp;IF(games[[#This Row],[tag]]="-","","("&amp;games[[#This Row],[tag]]&amp;")")</f>
        <v>v()</v>
      </c>
    </row>
    <row r="191" spans="1:12" x14ac:dyDescent="0.35">
      <c r="A191" s="1">
        <f t="shared" si="3"/>
        <v>38</v>
      </c>
      <c r="B191" s="1" t="s">
        <v>54</v>
      </c>
      <c r="C191" s="1">
        <f>INDEX(fields[column],MATCH(games[[#This Row],[field]],fields[field],0))</f>
        <v>5</v>
      </c>
      <c r="D191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91" s="40" t="str">
        <f ca="1">IF(LEN(games[[#This Row],[pair]])=3,MID(games[[#This Row],[pair]],2,1),"")</f>
        <v/>
      </c>
      <c r="F191" s="1">
        <f t="array" ref="F191">MATCH(1,(pages!$A$1:$A$957=games[[#This Row],[r]])*(pages!$B$1:$B$957=games[[#This Row],[field]]),0)</f>
        <v>211</v>
      </c>
      <c r="G191" s="1" t="b">
        <f>INDEX(pages!$L$1:$L$957,games[[#This Row],[ind]])</f>
        <v>0</v>
      </c>
      <c r="H191" s="1" t="str">
        <f ca="1">_xlfn.IFNA(IF(LEN(games[[#This Row],[pair]])=3,INDEX(teams[id],MATCH(LEFT(games[[#This Row],[pair]]),teams[char],0)),""),"")</f>
        <v/>
      </c>
      <c r="I191" s="1" t="str">
        <f ca="1">_xlfn.IFNA(IF(LEN(games[[#This Row],[pair]])=3,INDEX(teams[id],MATCH(RIGHT(games[[#This Row],[pair]]),teams[char],0)),""),"")</f>
        <v/>
      </c>
      <c r="J191" s="1" t="str">
        <f>IF(games[[#This Row],[played]],INDEX(pages!$I$1:$I$759,games[[#This Row],[ind]]),"")</f>
        <v/>
      </c>
      <c r="K191" s="1" t="str">
        <f>IF(games[[#This Row],[played]],INDEX(pages!$J$1:$J$759,games[[#This Row],[ind]]),"")</f>
        <v/>
      </c>
      <c r="L191" s="40" t="str">
        <f ca="1">INDEX(fields[char],MATCH(games[[#This Row],[field]],fields[field],0))&amp;IF(games[[#This Row],[tag]]="-","","("&amp;games[[#This Row],[tag]]&amp;")")</f>
        <v>m()</v>
      </c>
    </row>
    <row r="192" spans="1:12" x14ac:dyDescent="0.35">
      <c r="A192" s="1">
        <f>A187+1</f>
        <v>39</v>
      </c>
      <c r="B192" s="1" t="s">
        <v>3</v>
      </c>
      <c r="C192" s="1">
        <f>INDEX(fields[column],MATCH(games[[#This Row],[field]],fields[field],0))</f>
        <v>1</v>
      </c>
      <c r="D192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92" s="40" t="str">
        <f ca="1">IF(LEN(games[[#This Row],[pair]])=3,MID(games[[#This Row],[pair]],2,1),"")</f>
        <v/>
      </c>
      <c r="F192" s="1">
        <f t="array" ref="F192">MATCH(1,(pages!$A$1:$A$957=games[[#This Row],[r]])*(pages!$B$1:$B$957=games[[#This Row],[field]]),0)</f>
        <v>212</v>
      </c>
      <c r="G192" s="1" t="b">
        <f>INDEX(pages!$L$1:$L$957,games[[#This Row],[ind]])</f>
        <v>0</v>
      </c>
      <c r="H192" s="1" t="str">
        <f ca="1">_xlfn.IFNA(IF(LEN(games[[#This Row],[pair]])=3,INDEX(teams[id],MATCH(LEFT(games[[#This Row],[pair]]),teams[char],0)),""),"")</f>
        <v/>
      </c>
      <c r="I192" s="1" t="str">
        <f ca="1">_xlfn.IFNA(IF(LEN(games[[#This Row],[pair]])=3,INDEX(teams[id],MATCH(RIGHT(games[[#This Row],[pair]]),teams[char],0)),""),"")</f>
        <v/>
      </c>
      <c r="J192" s="1" t="str">
        <f>IF(games[[#This Row],[played]],INDEX(pages!$I$1:$I$759,games[[#This Row],[ind]]),"")</f>
        <v/>
      </c>
      <c r="K192" s="1" t="str">
        <f>IF(games[[#This Row],[played]],INDEX(pages!$J$1:$J$759,games[[#This Row],[ind]]),"")</f>
        <v/>
      </c>
      <c r="L192" s="40" t="str">
        <f ca="1">INDEX(fields[char],MATCH(games[[#This Row],[field]],fields[field],0))&amp;IF(games[[#This Row],[tag]]="-","","("&amp;games[[#This Row],[tag]]&amp;")")</f>
        <v>p()</v>
      </c>
    </row>
    <row r="193" spans="1:12" x14ac:dyDescent="0.35">
      <c r="A193" s="1">
        <f t="shared" ref="A193:A241" si="4">A188+1</f>
        <v>39</v>
      </c>
      <c r="B193" s="1" t="s">
        <v>4</v>
      </c>
      <c r="C193" s="1">
        <f>INDEX(fields[column],MATCH(games[[#This Row],[field]],fields[field],0))</f>
        <v>2</v>
      </c>
      <c r="D193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93" s="40" t="str">
        <f ca="1">IF(LEN(games[[#This Row],[pair]])=3,MID(games[[#This Row],[pair]],2,1),"")</f>
        <v/>
      </c>
      <c r="F193" s="1">
        <f t="array" ref="F193">MATCH(1,(pages!$A$1:$A$957=games[[#This Row],[r]])*(pages!$B$1:$B$957=games[[#This Row],[field]]),0)</f>
        <v>213</v>
      </c>
      <c r="G193" s="1" t="b">
        <f>INDEX(pages!$L$1:$L$957,games[[#This Row],[ind]])</f>
        <v>0</v>
      </c>
      <c r="H193" s="1" t="str">
        <f ca="1">_xlfn.IFNA(IF(LEN(games[[#This Row],[pair]])=3,INDEX(teams[id],MATCH(LEFT(games[[#This Row],[pair]]),teams[char],0)),""),"")</f>
        <v/>
      </c>
      <c r="I193" s="1" t="str">
        <f ca="1">_xlfn.IFNA(IF(LEN(games[[#This Row],[pair]])=3,INDEX(teams[id],MATCH(RIGHT(games[[#This Row],[pair]]),teams[char],0)),""),"")</f>
        <v/>
      </c>
      <c r="J193" s="1" t="str">
        <f>IF(games[[#This Row],[played]],INDEX(pages!$I$1:$I$759,games[[#This Row],[ind]]),"")</f>
        <v/>
      </c>
      <c r="K193" s="1" t="str">
        <f>IF(games[[#This Row],[played]],INDEX(pages!$J$1:$J$759,games[[#This Row],[ind]]),"")</f>
        <v/>
      </c>
      <c r="L193" s="40" t="str">
        <f ca="1">INDEX(fields[char],MATCH(games[[#This Row],[field]],fields[field],0))&amp;IF(games[[#This Row],[tag]]="-","","("&amp;games[[#This Row],[tag]]&amp;")")</f>
        <v>p()</v>
      </c>
    </row>
    <row r="194" spans="1:12" x14ac:dyDescent="0.35">
      <c r="A194" s="1">
        <f t="shared" si="4"/>
        <v>39</v>
      </c>
      <c r="B194" s="1" t="s">
        <v>5</v>
      </c>
      <c r="C194" s="1">
        <f>INDEX(fields[column],MATCH(games[[#This Row],[field]],fields[field],0))</f>
        <v>3</v>
      </c>
      <c r="D194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94" s="40" t="str">
        <f ca="1">IF(LEN(games[[#This Row],[pair]])=3,MID(games[[#This Row],[pair]],2,1),"")</f>
        <v/>
      </c>
      <c r="F194" s="1">
        <f t="array" ref="F194">MATCH(1,(pages!$A$1:$A$957=games[[#This Row],[r]])*(pages!$B$1:$B$957=games[[#This Row],[field]]),0)</f>
        <v>214</v>
      </c>
      <c r="G194" s="1" t="b">
        <f>INDEX(pages!$L$1:$L$957,games[[#This Row],[ind]])</f>
        <v>0</v>
      </c>
      <c r="H194" s="1" t="str">
        <f ca="1">_xlfn.IFNA(IF(LEN(games[[#This Row],[pair]])=3,INDEX(teams[id],MATCH(LEFT(games[[#This Row],[pair]]),teams[char],0)),""),"")</f>
        <v/>
      </c>
      <c r="I194" s="1" t="str">
        <f ca="1">_xlfn.IFNA(IF(LEN(games[[#This Row],[pair]])=3,INDEX(teams[id],MATCH(RIGHT(games[[#This Row],[pair]]),teams[char],0)),""),"")</f>
        <v/>
      </c>
      <c r="J194" s="1" t="str">
        <f>IF(games[[#This Row],[played]],INDEX(pages!$I$1:$I$759,games[[#This Row],[ind]]),"")</f>
        <v/>
      </c>
      <c r="K194" s="1" t="str">
        <f>IF(games[[#This Row],[played]],INDEX(pages!$J$1:$J$759,games[[#This Row],[ind]]),"")</f>
        <v/>
      </c>
      <c r="L194" s="40" t="str">
        <f ca="1">INDEX(fields[char],MATCH(games[[#This Row],[field]],fields[field],0))&amp;IF(games[[#This Row],[tag]]="-","","("&amp;games[[#This Row],[tag]]&amp;")")</f>
        <v>k()</v>
      </c>
    </row>
    <row r="195" spans="1:12" x14ac:dyDescent="0.35">
      <c r="A195" s="1">
        <f t="shared" si="4"/>
        <v>39</v>
      </c>
      <c r="B195" s="1" t="s">
        <v>53</v>
      </c>
      <c r="C195" s="1">
        <f>INDEX(fields[column],MATCH(games[[#This Row],[field]],fields[field],0))</f>
        <v>4</v>
      </c>
      <c r="D195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95" s="40" t="str">
        <f ca="1">IF(LEN(games[[#This Row],[pair]])=3,MID(games[[#This Row],[pair]],2,1),"")</f>
        <v/>
      </c>
      <c r="F195" s="1">
        <f t="array" ref="F195">MATCH(1,(pages!$A$1:$A$957=games[[#This Row],[r]])*(pages!$B$1:$B$957=games[[#This Row],[field]]),0)</f>
        <v>215</v>
      </c>
      <c r="G195" s="1" t="b">
        <f>INDEX(pages!$L$1:$L$957,games[[#This Row],[ind]])</f>
        <v>0</v>
      </c>
      <c r="H195" s="1" t="str">
        <f ca="1">_xlfn.IFNA(IF(LEN(games[[#This Row],[pair]])=3,INDEX(teams[id],MATCH(LEFT(games[[#This Row],[pair]]),teams[char],0)),""),"")</f>
        <v/>
      </c>
      <c r="I195" s="1" t="str">
        <f ca="1">_xlfn.IFNA(IF(LEN(games[[#This Row],[pair]])=3,INDEX(teams[id],MATCH(RIGHT(games[[#This Row],[pair]]),teams[char],0)),""),"")</f>
        <v/>
      </c>
      <c r="J195" s="1" t="str">
        <f>IF(games[[#This Row],[played]],INDEX(pages!$I$1:$I$759,games[[#This Row],[ind]]),"")</f>
        <v/>
      </c>
      <c r="K195" s="1" t="str">
        <f>IF(games[[#This Row],[played]],INDEX(pages!$J$1:$J$759,games[[#This Row],[ind]]),"")</f>
        <v/>
      </c>
      <c r="L195" s="40" t="str">
        <f ca="1">INDEX(fields[char],MATCH(games[[#This Row],[field]],fields[field],0))&amp;IF(games[[#This Row],[tag]]="-","","("&amp;games[[#This Row],[tag]]&amp;")")</f>
        <v>v()</v>
      </c>
    </row>
    <row r="196" spans="1:12" x14ac:dyDescent="0.35">
      <c r="A196" s="1">
        <f t="shared" si="4"/>
        <v>39</v>
      </c>
      <c r="B196" s="1" t="s">
        <v>54</v>
      </c>
      <c r="C196" s="1">
        <f>INDEX(fields[column],MATCH(games[[#This Row],[field]],fields[field],0))</f>
        <v>5</v>
      </c>
      <c r="D196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96" s="40" t="str">
        <f ca="1">IF(LEN(games[[#This Row],[pair]])=3,MID(games[[#This Row],[pair]],2,1),"")</f>
        <v/>
      </c>
      <c r="F196" s="1">
        <f t="array" ref="F196">MATCH(1,(pages!$A$1:$A$957=games[[#This Row],[r]])*(pages!$B$1:$B$957=games[[#This Row],[field]]),0)</f>
        <v>216</v>
      </c>
      <c r="G196" s="1" t="b">
        <f>INDEX(pages!$L$1:$L$957,games[[#This Row],[ind]])</f>
        <v>0</v>
      </c>
      <c r="H196" s="1" t="str">
        <f ca="1">_xlfn.IFNA(IF(LEN(games[[#This Row],[pair]])=3,INDEX(teams[id],MATCH(LEFT(games[[#This Row],[pair]]),teams[char],0)),""),"")</f>
        <v/>
      </c>
      <c r="I196" s="1" t="str">
        <f ca="1">_xlfn.IFNA(IF(LEN(games[[#This Row],[pair]])=3,INDEX(teams[id],MATCH(RIGHT(games[[#This Row],[pair]]),teams[char],0)),""),"")</f>
        <v/>
      </c>
      <c r="J196" s="1" t="str">
        <f>IF(games[[#This Row],[played]],INDEX(pages!$I$1:$I$759,games[[#This Row],[ind]]),"")</f>
        <v/>
      </c>
      <c r="K196" s="1" t="str">
        <f>IF(games[[#This Row],[played]],INDEX(pages!$J$1:$J$759,games[[#This Row],[ind]]),"")</f>
        <v/>
      </c>
      <c r="L196" s="40" t="str">
        <f ca="1">INDEX(fields[char],MATCH(games[[#This Row],[field]],fields[field],0))&amp;IF(games[[#This Row],[tag]]="-","","("&amp;games[[#This Row],[tag]]&amp;")")</f>
        <v>m()</v>
      </c>
    </row>
    <row r="197" spans="1:12" x14ac:dyDescent="0.35">
      <c r="A197" s="1">
        <f>A192+1</f>
        <v>40</v>
      </c>
      <c r="B197" s="1" t="s">
        <v>3</v>
      </c>
      <c r="C197" s="1">
        <f>INDEX(fields[column],MATCH(games[[#This Row],[field]],fields[field],0))</f>
        <v>1</v>
      </c>
      <c r="D197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97" s="40" t="str">
        <f ca="1">IF(LEN(games[[#This Row],[pair]])=3,MID(games[[#This Row],[pair]],2,1),"")</f>
        <v/>
      </c>
      <c r="F197" s="1">
        <f t="array" ref="F197">MATCH(1,(pages!$A$1:$A$957=games[[#This Row],[r]])*(pages!$B$1:$B$957=games[[#This Row],[field]]),0)</f>
        <v>217</v>
      </c>
      <c r="G197" s="1" t="b">
        <f>INDEX(pages!$L$1:$L$957,games[[#This Row],[ind]])</f>
        <v>0</v>
      </c>
      <c r="H197" s="1" t="str">
        <f ca="1">_xlfn.IFNA(IF(LEN(games[[#This Row],[pair]])=3,INDEX(teams[id],MATCH(LEFT(games[[#This Row],[pair]]),teams[char],0)),""),"")</f>
        <v/>
      </c>
      <c r="I197" s="1" t="str">
        <f ca="1">_xlfn.IFNA(IF(LEN(games[[#This Row],[pair]])=3,INDEX(teams[id],MATCH(RIGHT(games[[#This Row],[pair]]),teams[char],0)),""),"")</f>
        <v/>
      </c>
      <c r="J197" s="1" t="str">
        <f>IF(games[[#This Row],[played]],INDEX(pages!$I$1:$I$759,games[[#This Row],[ind]]),"")</f>
        <v/>
      </c>
      <c r="K197" s="1" t="str">
        <f>IF(games[[#This Row],[played]],INDEX(pages!$J$1:$J$759,games[[#This Row],[ind]]),"")</f>
        <v/>
      </c>
      <c r="L197" s="40" t="str">
        <f ca="1">INDEX(fields[char],MATCH(games[[#This Row],[field]],fields[field],0))&amp;IF(games[[#This Row],[tag]]="-","","("&amp;games[[#This Row],[tag]]&amp;")")</f>
        <v>p()</v>
      </c>
    </row>
    <row r="198" spans="1:12" x14ac:dyDescent="0.35">
      <c r="A198" s="1">
        <f t="shared" si="4"/>
        <v>40</v>
      </c>
      <c r="B198" s="1" t="s">
        <v>4</v>
      </c>
      <c r="C198" s="1">
        <f>INDEX(fields[column],MATCH(games[[#This Row],[field]],fields[field],0))</f>
        <v>2</v>
      </c>
      <c r="D198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98" s="40" t="str">
        <f ca="1">IF(LEN(games[[#This Row],[pair]])=3,MID(games[[#This Row],[pair]],2,1),"")</f>
        <v/>
      </c>
      <c r="F198" s="1">
        <f t="array" ref="F198">MATCH(1,(pages!$A$1:$A$957=games[[#This Row],[r]])*(pages!$B$1:$B$957=games[[#This Row],[field]]),0)</f>
        <v>218</v>
      </c>
      <c r="G198" s="1" t="b">
        <f>INDEX(pages!$L$1:$L$957,games[[#This Row],[ind]])</f>
        <v>0</v>
      </c>
      <c r="H198" s="1" t="str">
        <f ca="1">_xlfn.IFNA(IF(LEN(games[[#This Row],[pair]])=3,INDEX(teams[id],MATCH(LEFT(games[[#This Row],[pair]]),teams[char],0)),""),"")</f>
        <v/>
      </c>
      <c r="I198" s="1" t="str">
        <f ca="1">_xlfn.IFNA(IF(LEN(games[[#This Row],[pair]])=3,INDEX(teams[id],MATCH(RIGHT(games[[#This Row],[pair]]),teams[char],0)),""),"")</f>
        <v/>
      </c>
      <c r="J198" s="1" t="str">
        <f>IF(games[[#This Row],[played]],INDEX(pages!$I$1:$I$759,games[[#This Row],[ind]]),"")</f>
        <v/>
      </c>
      <c r="K198" s="1" t="str">
        <f>IF(games[[#This Row],[played]],INDEX(pages!$J$1:$J$759,games[[#This Row],[ind]]),"")</f>
        <v/>
      </c>
      <c r="L198" s="40" t="str">
        <f ca="1">INDEX(fields[char],MATCH(games[[#This Row],[field]],fields[field],0))&amp;IF(games[[#This Row],[tag]]="-","","("&amp;games[[#This Row],[tag]]&amp;")")</f>
        <v>p()</v>
      </c>
    </row>
    <row r="199" spans="1:12" x14ac:dyDescent="0.35">
      <c r="A199" s="1">
        <f t="shared" si="4"/>
        <v>40</v>
      </c>
      <c r="B199" s="1" t="s">
        <v>5</v>
      </c>
      <c r="C199" s="1">
        <f>INDEX(fields[column],MATCH(games[[#This Row],[field]],fields[field],0))</f>
        <v>3</v>
      </c>
      <c r="D199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199" s="40" t="str">
        <f ca="1">IF(LEN(games[[#This Row],[pair]])=3,MID(games[[#This Row],[pair]],2,1),"")</f>
        <v/>
      </c>
      <c r="F199" s="1">
        <f t="array" ref="F199">MATCH(1,(pages!$A$1:$A$957=games[[#This Row],[r]])*(pages!$B$1:$B$957=games[[#This Row],[field]]),0)</f>
        <v>219</v>
      </c>
      <c r="G199" s="1" t="b">
        <f>INDEX(pages!$L$1:$L$957,games[[#This Row],[ind]])</f>
        <v>0</v>
      </c>
      <c r="H199" s="1" t="str">
        <f ca="1">_xlfn.IFNA(IF(LEN(games[[#This Row],[pair]])=3,INDEX(teams[id],MATCH(LEFT(games[[#This Row],[pair]]),teams[char],0)),""),"")</f>
        <v/>
      </c>
      <c r="I199" s="1" t="str">
        <f ca="1">_xlfn.IFNA(IF(LEN(games[[#This Row],[pair]])=3,INDEX(teams[id],MATCH(RIGHT(games[[#This Row],[pair]]),teams[char],0)),""),"")</f>
        <v/>
      </c>
      <c r="J199" s="1" t="str">
        <f>IF(games[[#This Row],[played]],INDEX(pages!$I$1:$I$759,games[[#This Row],[ind]]),"")</f>
        <v/>
      </c>
      <c r="K199" s="1" t="str">
        <f>IF(games[[#This Row],[played]],INDEX(pages!$J$1:$J$759,games[[#This Row],[ind]]),"")</f>
        <v/>
      </c>
      <c r="L199" s="40" t="str">
        <f ca="1">INDEX(fields[char],MATCH(games[[#This Row],[field]],fields[field],0))&amp;IF(games[[#This Row],[tag]]="-","","("&amp;games[[#This Row],[tag]]&amp;")")</f>
        <v>k()</v>
      </c>
    </row>
    <row r="200" spans="1:12" x14ac:dyDescent="0.35">
      <c r="A200" s="1">
        <f t="shared" si="4"/>
        <v>40</v>
      </c>
      <c r="B200" s="1" t="s">
        <v>53</v>
      </c>
      <c r="C200" s="1">
        <f>INDEX(fields[column],MATCH(games[[#This Row],[field]],fields[field],0))</f>
        <v>4</v>
      </c>
      <c r="D200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00" s="40" t="str">
        <f ca="1">IF(LEN(games[[#This Row],[pair]])=3,MID(games[[#This Row],[pair]],2,1),"")</f>
        <v/>
      </c>
      <c r="F200" s="1">
        <f t="array" ref="F200">MATCH(1,(pages!$A$1:$A$957=games[[#This Row],[r]])*(pages!$B$1:$B$957=games[[#This Row],[field]]),0)</f>
        <v>220</v>
      </c>
      <c r="G200" s="1" t="b">
        <f>INDEX(pages!$L$1:$L$957,games[[#This Row],[ind]])</f>
        <v>0</v>
      </c>
      <c r="H200" s="1" t="str">
        <f ca="1">_xlfn.IFNA(IF(LEN(games[[#This Row],[pair]])=3,INDEX(teams[id],MATCH(LEFT(games[[#This Row],[pair]]),teams[char],0)),""),"")</f>
        <v/>
      </c>
      <c r="I200" s="1" t="str">
        <f ca="1">_xlfn.IFNA(IF(LEN(games[[#This Row],[pair]])=3,INDEX(teams[id],MATCH(RIGHT(games[[#This Row],[pair]]),teams[char],0)),""),"")</f>
        <v/>
      </c>
      <c r="J200" s="1" t="str">
        <f>IF(games[[#This Row],[played]],INDEX(pages!$I$1:$I$759,games[[#This Row],[ind]]),"")</f>
        <v/>
      </c>
      <c r="K200" s="1" t="str">
        <f>IF(games[[#This Row],[played]],INDEX(pages!$J$1:$J$759,games[[#This Row],[ind]]),"")</f>
        <v/>
      </c>
      <c r="L200" s="40" t="str">
        <f ca="1">INDEX(fields[char],MATCH(games[[#This Row],[field]],fields[field],0))&amp;IF(games[[#This Row],[tag]]="-","","("&amp;games[[#This Row],[tag]]&amp;")")</f>
        <v>v()</v>
      </c>
    </row>
    <row r="201" spans="1:12" x14ac:dyDescent="0.35">
      <c r="A201" s="1">
        <f t="shared" si="4"/>
        <v>40</v>
      </c>
      <c r="B201" s="1" t="s">
        <v>54</v>
      </c>
      <c r="C201" s="1">
        <f>INDEX(fields[column],MATCH(games[[#This Row],[field]],fields[field],0))</f>
        <v>5</v>
      </c>
      <c r="D201" s="40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01" s="40" t="str">
        <f ca="1">IF(LEN(games[[#This Row],[pair]])=3,MID(games[[#This Row],[pair]],2,1),"")</f>
        <v/>
      </c>
      <c r="F201" s="1">
        <f t="array" ref="F201">MATCH(1,(pages!$A$1:$A$957=games[[#This Row],[r]])*(pages!$B$1:$B$957=games[[#This Row],[field]]),0)</f>
        <v>221</v>
      </c>
      <c r="G201" s="1" t="b">
        <f>INDEX(pages!$L$1:$L$957,games[[#This Row],[ind]])</f>
        <v>0</v>
      </c>
      <c r="H201" s="1" t="str">
        <f ca="1">_xlfn.IFNA(IF(LEN(games[[#This Row],[pair]])=3,INDEX(teams[id],MATCH(LEFT(games[[#This Row],[pair]]),teams[char],0)),""),"")</f>
        <v/>
      </c>
      <c r="I201" s="1" t="str">
        <f ca="1">_xlfn.IFNA(IF(LEN(games[[#This Row],[pair]])=3,INDEX(teams[id],MATCH(RIGHT(games[[#This Row],[pair]]),teams[char],0)),""),"")</f>
        <v/>
      </c>
      <c r="J201" s="1" t="str">
        <f>IF(games[[#This Row],[played]],INDEX(pages!$I$1:$I$759,games[[#This Row],[ind]]),"")</f>
        <v/>
      </c>
      <c r="K201" s="1" t="str">
        <f>IF(games[[#This Row],[played]],INDEX(pages!$J$1:$J$759,games[[#This Row],[ind]]),"")</f>
        <v/>
      </c>
      <c r="L201" s="40" t="str">
        <f ca="1">INDEX(fields[char],MATCH(games[[#This Row],[field]],fields[field],0))&amp;IF(games[[#This Row],[tag]]="-","","("&amp;games[[#This Row],[tag]]&amp;")")</f>
        <v>m()</v>
      </c>
    </row>
    <row r="202" spans="1:12" x14ac:dyDescent="0.35">
      <c r="A202" s="1">
        <f t="shared" si="4"/>
        <v>41</v>
      </c>
      <c r="B202" s="1" t="s">
        <v>3</v>
      </c>
      <c r="C202" s="86">
        <f>INDEX(fields[column],MATCH(games[[#This Row],[field]],fields[field],0))</f>
        <v>1</v>
      </c>
      <c r="D202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02" s="87" t="str">
        <f ca="1">IF(LEN(games[[#This Row],[pair]])=3,MID(games[[#This Row],[pair]],2,1),"")</f>
        <v/>
      </c>
      <c r="F202" s="86">
        <f t="array" ref="F202">MATCH(1,(pages!$A$1:$A$957=games[[#This Row],[r]])*(pages!$B$1:$B$957=games[[#This Row],[field]]),0)</f>
        <v>224</v>
      </c>
      <c r="G202" s="86" t="b">
        <f>INDEX(pages!$L$1:$L$957,games[[#This Row],[ind]])</f>
        <v>0</v>
      </c>
      <c r="H202" s="86" t="str">
        <f ca="1">_xlfn.IFNA(IF(LEN(games[[#This Row],[pair]])=3,INDEX(teams[id],MATCH(LEFT(games[[#This Row],[pair]]),teams[char],0)),""),"")</f>
        <v/>
      </c>
      <c r="I202" s="86" t="str">
        <f ca="1">_xlfn.IFNA(IF(LEN(games[[#This Row],[pair]])=3,INDEX(teams[id],MATCH(RIGHT(games[[#This Row],[pair]]),teams[char],0)),""),"")</f>
        <v/>
      </c>
      <c r="J202" s="86" t="str">
        <f>IF(games[[#This Row],[played]],INDEX(pages!$I$1:$I$759,games[[#This Row],[ind]]),"")</f>
        <v/>
      </c>
      <c r="K202" s="86" t="str">
        <f>IF(games[[#This Row],[played]],INDEX(pages!$J$1:$J$759,games[[#This Row],[ind]]),"")</f>
        <v/>
      </c>
      <c r="L202" s="87" t="str">
        <f ca="1">INDEX(fields[char],MATCH(games[[#This Row],[field]],fields[field],0))&amp;IF(games[[#This Row],[tag]]="-","","("&amp;games[[#This Row],[tag]]&amp;")")</f>
        <v>p()</v>
      </c>
    </row>
    <row r="203" spans="1:12" x14ac:dyDescent="0.35">
      <c r="A203" s="1">
        <f t="shared" si="4"/>
        <v>41</v>
      </c>
      <c r="B203" s="1" t="s">
        <v>4</v>
      </c>
      <c r="C203" s="86">
        <f>INDEX(fields[column],MATCH(games[[#This Row],[field]],fields[field],0))</f>
        <v>2</v>
      </c>
      <c r="D203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03" s="87" t="str">
        <f ca="1">IF(LEN(games[[#This Row],[pair]])=3,MID(games[[#This Row],[pair]],2,1),"")</f>
        <v/>
      </c>
      <c r="F203" s="86">
        <f t="array" ref="F203">MATCH(1,(pages!$A$1:$A$957=games[[#This Row],[r]])*(pages!$B$1:$B$957=games[[#This Row],[field]]),0)</f>
        <v>225</v>
      </c>
      <c r="G203" s="86" t="b">
        <f>INDEX(pages!$L$1:$L$957,games[[#This Row],[ind]])</f>
        <v>0</v>
      </c>
      <c r="H203" s="86" t="str">
        <f ca="1">_xlfn.IFNA(IF(LEN(games[[#This Row],[pair]])=3,INDEX(teams[id],MATCH(LEFT(games[[#This Row],[pair]]),teams[char],0)),""),"")</f>
        <v/>
      </c>
      <c r="I203" s="86" t="str">
        <f ca="1">_xlfn.IFNA(IF(LEN(games[[#This Row],[pair]])=3,INDEX(teams[id],MATCH(RIGHT(games[[#This Row],[pair]]),teams[char],0)),""),"")</f>
        <v/>
      </c>
      <c r="J203" s="86" t="str">
        <f>IF(games[[#This Row],[played]],INDEX(pages!$I$1:$I$759,games[[#This Row],[ind]]),"")</f>
        <v/>
      </c>
      <c r="K203" s="86" t="str">
        <f>IF(games[[#This Row],[played]],INDEX(pages!$J$1:$J$759,games[[#This Row],[ind]]),"")</f>
        <v/>
      </c>
      <c r="L203" s="87" t="str">
        <f ca="1">INDEX(fields[char],MATCH(games[[#This Row],[field]],fields[field],0))&amp;IF(games[[#This Row],[tag]]="-","","("&amp;games[[#This Row],[tag]]&amp;")")</f>
        <v>p()</v>
      </c>
    </row>
    <row r="204" spans="1:12" x14ac:dyDescent="0.35">
      <c r="A204" s="1">
        <f t="shared" si="4"/>
        <v>41</v>
      </c>
      <c r="B204" s="1" t="s">
        <v>5</v>
      </c>
      <c r="C204" s="86">
        <f>INDEX(fields[column],MATCH(games[[#This Row],[field]],fields[field],0))</f>
        <v>3</v>
      </c>
      <c r="D204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04" s="87" t="str">
        <f ca="1">IF(LEN(games[[#This Row],[pair]])=3,MID(games[[#This Row],[pair]],2,1),"")</f>
        <v/>
      </c>
      <c r="F204" s="86">
        <f t="array" ref="F204">MATCH(1,(pages!$A$1:$A$957=games[[#This Row],[r]])*(pages!$B$1:$B$957=games[[#This Row],[field]]),0)</f>
        <v>226</v>
      </c>
      <c r="G204" s="86" t="b">
        <f>INDEX(pages!$L$1:$L$957,games[[#This Row],[ind]])</f>
        <v>0</v>
      </c>
      <c r="H204" s="86" t="str">
        <f ca="1">_xlfn.IFNA(IF(LEN(games[[#This Row],[pair]])=3,INDEX(teams[id],MATCH(LEFT(games[[#This Row],[pair]]),teams[char],0)),""),"")</f>
        <v/>
      </c>
      <c r="I204" s="86" t="str">
        <f ca="1">_xlfn.IFNA(IF(LEN(games[[#This Row],[pair]])=3,INDEX(teams[id],MATCH(RIGHT(games[[#This Row],[pair]]),teams[char],0)),""),"")</f>
        <v/>
      </c>
      <c r="J204" s="86" t="str">
        <f>IF(games[[#This Row],[played]],INDEX(pages!$I$1:$I$759,games[[#This Row],[ind]]),"")</f>
        <v/>
      </c>
      <c r="K204" s="86" t="str">
        <f>IF(games[[#This Row],[played]],INDEX(pages!$J$1:$J$759,games[[#This Row],[ind]]),"")</f>
        <v/>
      </c>
      <c r="L204" s="87" t="str">
        <f ca="1">INDEX(fields[char],MATCH(games[[#This Row],[field]],fields[field],0))&amp;IF(games[[#This Row],[tag]]="-","","("&amp;games[[#This Row],[tag]]&amp;")")</f>
        <v>k()</v>
      </c>
    </row>
    <row r="205" spans="1:12" x14ac:dyDescent="0.35">
      <c r="A205" s="1">
        <f t="shared" si="4"/>
        <v>41</v>
      </c>
      <c r="B205" s="1" t="s">
        <v>53</v>
      </c>
      <c r="C205" s="86">
        <f>INDEX(fields[column],MATCH(games[[#This Row],[field]],fields[field],0))</f>
        <v>4</v>
      </c>
      <c r="D205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05" s="87" t="str">
        <f ca="1">IF(LEN(games[[#This Row],[pair]])=3,MID(games[[#This Row],[pair]],2,1),"")</f>
        <v/>
      </c>
      <c r="F205" s="86">
        <f t="array" ref="F205">MATCH(1,(pages!$A$1:$A$957=games[[#This Row],[r]])*(pages!$B$1:$B$957=games[[#This Row],[field]]),0)</f>
        <v>227</v>
      </c>
      <c r="G205" s="86" t="b">
        <f>INDEX(pages!$L$1:$L$957,games[[#This Row],[ind]])</f>
        <v>0</v>
      </c>
      <c r="H205" s="86" t="str">
        <f ca="1">_xlfn.IFNA(IF(LEN(games[[#This Row],[pair]])=3,INDEX(teams[id],MATCH(LEFT(games[[#This Row],[pair]]),teams[char],0)),""),"")</f>
        <v/>
      </c>
      <c r="I205" s="86" t="str">
        <f ca="1">_xlfn.IFNA(IF(LEN(games[[#This Row],[pair]])=3,INDEX(teams[id],MATCH(RIGHT(games[[#This Row],[pair]]),teams[char],0)),""),"")</f>
        <v/>
      </c>
      <c r="J205" s="86" t="str">
        <f>IF(games[[#This Row],[played]],INDEX(pages!$I$1:$I$759,games[[#This Row],[ind]]),"")</f>
        <v/>
      </c>
      <c r="K205" s="86" t="str">
        <f>IF(games[[#This Row],[played]],INDEX(pages!$J$1:$J$759,games[[#This Row],[ind]]),"")</f>
        <v/>
      </c>
      <c r="L205" s="87" t="str">
        <f ca="1">INDEX(fields[char],MATCH(games[[#This Row],[field]],fields[field],0))&amp;IF(games[[#This Row],[tag]]="-","","("&amp;games[[#This Row],[tag]]&amp;")")</f>
        <v>v()</v>
      </c>
    </row>
    <row r="206" spans="1:12" x14ac:dyDescent="0.35">
      <c r="A206" s="1">
        <f t="shared" si="4"/>
        <v>41</v>
      </c>
      <c r="B206" s="1" t="s">
        <v>54</v>
      </c>
      <c r="C206" s="86">
        <f>INDEX(fields[column],MATCH(games[[#This Row],[field]],fields[field],0))</f>
        <v>5</v>
      </c>
      <c r="D206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06" s="87" t="str">
        <f ca="1">IF(LEN(games[[#This Row],[pair]])=3,MID(games[[#This Row],[pair]],2,1),"")</f>
        <v/>
      </c>
      <c r="F206" s="86">
        <f t="array" ref="F206">MATCH(1,(pages!$A$1:$A$957=games[[#This Row],[r]])*(pages!$B$1:$B$957=games[[#This Row],[field]]),0)</f>
        <v>228</v>
      </c>
      <c r="G206" s="86" t="b">
        <f>INDEX(pages!$L$1:$L$957,games[[#This Row],[ind]])</f>
        <v>0</v>
      </c>
      <c r="H206" s="86" t="str">
        <f ca="1">_xlfn.IFNA(IF(LEN(games[[#This Row],[pair]])=3,INDEX(teams[id],MATCH(LEFT(games[[#This Row],[pair]]),teams[char],0)),""),"")</f>
        <v/>
      </c>
      <c r="I206" s="86" t="str">
        <f ca="1">_xlfn.IFNA(IF(LEN(games[[#This Row],[pair]])=3,INDEX(teams[id],MATCH(RIGHT(games[[#This Row],[pair]]),teams[char],0)),""),"")</f>
        <v/>
      </c>
      <c r="J206" s="86" t="str">
        <f>IF(games[[#This Row],[played]],INDEX(pages!$I$1:$I$759,games[[#This Row],[ind]]),"")</f>
        <v/>
      </c>
      <c r="K206" s="86" t="str">
        <f>IF(games[[#This Row],[played]],INDEX(pages!$J$1:$J$759,games[[#This Row],[ind]]),"")</f>
        <v/>
      </c>
      <c r="L206" s="87" t="str">
        <f ca="1">INDEX(fields[char],MATCH(games[[#This Row],[field]],fields[field],0))&amp;IF(games[[#This Row],[tag]]="-","","("&amp;games[[#This Row],[tag]]&amp;")")</f>
        <v>m()</v>
      </c>
    </row>
    <row r="207" spans="1:12" x14ac:dyDescent="0.35">
      <c r="A207" s="1">
        <f t="shared" si="4"/>
        <v>42</v>
      </c>
      <c r="B207" s="1" t="s">
        <v>3</v>
      </c>
      <c r="C207" s="86">
        <f>INDEX(fields[column],MATCH(games[[#This Row],[field]],fields[field],0))</f>
        <v>1</v>
      </c>
      <c r="D207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07" s="87" t="str">
        <f ca="1">IF(LEN(games[[#This Row],[pair]])=3,MID(games[[#This Row],[pair]],2,1),"")</f>
        <v/>
      </c>
      <c r="F207" s="86">
        <f t="array" ref="F207">MATCH(1,(pages!$A$1:$A$957=games[[#This Row],[r]])*(pages!$B$1:$B$957=games[[#This Row],[field]]),0)</f>
        <v>229</v>
      </c>
      <c r="G207" s="86" t="b">
        <f>INDEX(pages!$L$1:$L$957,games[[#This Row],[ind]])</f>
        <v>0</v>
      </c>
      <c r="H207" s="86" t="str">
        <f ca="1">_xlfn.IFNA(IF(LEN(games[[#This Row],[pair]])=3,INDEX(teams[id],MATCH(LEFT(games[[#This Row],[pair]]),teams[char],0)),""),"")</f>
        <v/>
      </c>
      <c r="I207" s="86" t="str">
        <f ca="1">_xlfn.IFNA(IF(LEN(games[[#This Row],[pair]])=3,INDEX(teams[id],MATCH(RIGHT(games[[#This Row],[pair]]),teams[char],0)),""),"")</f>
        <v/>
      </c>
      <c r="J207" s="86" t="str">
        <f>IF(games[[#This Row],[played]],INDEX(pages!$I$1:$I$759,games[[#This Row],[ind]]),"")</f>
        <v/>
      </c>
      <c r="K207" s="86" t="str">
        <f>IF(games[[#This Row],[played]],INDEX(pages!$J$1:$J$759,games[[#This Row],[ind]]),"")</f>
        <v/>
      </c>
      <c r="L207" s="87" t="str">
        <f ca="1">INDEX(fields[char],MATCH(games[[#This Row],[field]],fields[field],0))&amp;IF(games[[#This Row],[tag]]="-","","("&amp;games[[#This Row],[tag]]&amp;")")</f>
        <v>p()</v>
      </c>
    </row>
    <row r="208" spans="1:12" x14ac:dyDescent="0.35">
      <c r="A208" s="1">
        <f t="shared" si="4"/>
        <v>42</v>
      </c>
      <c r="B208" s="1" t="s">
        <v>4</v>
      </c>
      <c r="C208" s="86">
        <f>INDEX(fields[column],MATCH(games[[#This Row],[field]],fields[field],0))</f>
        <v>2</v>
      </c>
      <c r="D208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08" s="87" t="str">
        <f ca="1">IF(LEN(games[[#This Row],[pair]])=3,MID(games[[#This Row],[pair]],2,1),"")</f>
        <v/>
      </c>
      <c r="F208" s="86">
        <f t="array" ref="F208">MATCH(1,(pages!$A$1:$A$957=games[[#This Row],[r]])*(pages!$B$1:$B$957=games[[#This Row],[field]]),0)</f>
        <v>230</v>
      </c>
      <c r="G208" s="86" t="b">
        <f>INDEX(pages!$L$1:$L$957,games[[#This Row],[ind]])</f>
        <v>0</v>
      </c>
      <c r="H208" s="86" t="str">
        <f ca="1">_xlfn.IFNA(IF(LEN(games[[#This Row],[pair]])=3,INDEX(teams[id],MATCH(LEFT(games[[#This Row],[pair]]),teams[char],0)),""),"")</f>
        <v/>
      </c>
      <c r="I208" s="86" t="str">
        <f ca="1">_xlfn.IFNA(IF(LEN(games[[#This Row],[pair]])=3,INDEX(teams[id],MATCH(RIGHT(games[[#This Row],[pair]]),teams[char],0)),""),"")</f>
        <v/>
      </c>
      <c r="J208" s="86" t="str">
        <f>IF(games[[#This Row],[played]],INDEX(pages!$I$1:$I$759,games[[#This Row],[ind]]),"")</f>
        <v/>
      </c>
      <c r="K208" s="86" t="str">
        <f>IF(games[[#This Row],[played]],INDEX(pages!$J$1:$J$759,games[[#This Row],[ind]]),"")</f>
        <v/>
      </c>
      <c r="L208" s="87" t="str">
        <f ca="1">INDEX(fields[char],MATCH(games[[#This Row],[field]],fields[field],0))&amp;IF(games[[#This Row],[tag]]="-","","("&amp;games[[#This Row],[tag]]&amp;")")</f>
        <v>p()</v>
      </c>
    </row>
    <row r="209" spans="1:12" x14ac:dyDescent="0.35">
      <c r="A209" s="1">
        <f t="shared" si="4"/>
        <v>42</v>
      </c>
      <c r="B209" s="1" t="s">
        <v>5</v>
      </c>
      <c r="C209" s="86">
        <f>INDEX(fields[column],MATCH(games[[#This Row],[field]],fields[field],0))</f>
        <v>3</v>
      </c>
      <c r="D209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09" s="87" t="str">
        <f ca="1">IF(LEN(games[[#This Row],[pair]])=3,MID(games[[#This Row],[pair]],2,1),"")</f>
        <v/>
      </c>
      <c r="F209" s="86">
        <f t="array" ref="F209">MATCH(1,(pages!$A$1:$A$957=games[[#This Row],[r]])*(pages!$B$1:$B$957=games[[#This Row],[field]]),0)</f>
        <v>231</v>
      </c>
      <c r="G209" s="86" t="b">
        <f>INDEX(pages!$L$1:$L$957,games[[#This Row],[ind]])</f>
        <v>0</v>
      </c>
      <c r="H209" s="86" t="str">
        <f ca="1">_xlfn.IFNA(IF(LEN(games[[#This Row],[pair]])=3,INDEX(teams[id],MATCH(LEFT(games[[#This Row],[pair]]),teams[char],0)),""),"")</f>
        <v/>
      </c>
      <c r="I209" s="86" t="str">
        <f ca="1">_xlfn.IFNA(IF(LEN(games[[#This Row],[pair]])=3,INDEX(teams[id],MATCH(RIGHT(games[[#This Row],[pair]]),teams[char],0)),""),"")</f>
        <v/>
      </c>
      <c r="J209" s="86" t="str">
        <f>IF(games[[#This Row],[played]],INDEX(pages!$I$1:$I$759,games[[#This Row],[ind]]),"")</f>
        <v/>
      </c>
      <c r="K209" s="86" t="str">
        <f>IF(games[[#This Row],[played]],INDEX(pages!$J$1:$J$759,games[[#This Row],[ind]]),"")</f>
        <v/>
      </c>
      <c r="L209" s="87" t="str">
        <f ca="1">INDEX(fields[char],MATCH(games[[#This Row],[field]],fields[field],0))&amp;IF(games[[#This Row],[tag]]="-","","("&amp;games[[#This Row],[tag]]&amp;")")</f>
        <v>k()</v>
      </c>
    </row>
    <row r="210" spans="1:12" x14ac:dyDescent="0.35">
      <c r="A210" s="1">
        <f t="shared" si="4"/>
        <v>42</v>
      </c>
      <c r="B210" s="1" t="s">
        <v>53</v>
      </c>
      <c r="C210" s="86">
        <f>INDEX(fields[column],MATCH(games[[#This Row],[field]],fields[field],0))</f>
        <v>4</v>
      </c>
      <c r="D210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10" s="87" t="str">
        <f ca="1">IF(LEN(games[[#This Row],[pair]])=3,MID(games[[#This Row],[pair]],2,1),"")</f>
        <v/>
      </c>
      <c r="F210" s="86">
        <f t="array" ref="F210">MATCH(1,(pages!$A$1:$A$957=games[[#This Row],[r]])*(pages!$B$1:$B$957=games[[#This Row],[field]]),0)</f>
        <v>232</v>
      </c>
      <c r="G210" s="86" t="b">
        <f>INDEX(pages!$L$1:$L$957,games[[#This Row],[ind]])</f>
        <v>0</v>
      </c>
      <c r="H210" s="86" t="str">
        <f ca="1">_xlfn.IFNA(IF(LEN(games[[#This Row],[pair]])=3,INDEX(teams[id],MATCH(LEFT(games[[#This Row],[pair]]),teams[char],0)),""),"")</f>
        <v/>
      </c>
      <c r="I210" s="86" t="str">
        <f ca="1">_xlfn.IFNA(IF(LEN(games[[#This Row],[pair]])=3,INDEX(teams[id],MATCH(RIGHT(games[[#This Row],[pair]]),teams[char],0)),""),"")</f>
        <v/>
      </c>
      <c r="J210" s="86" t="str">
        <f>IF(games[[#This Row],[played]],INDEX(pages!$I$1:$I$759,games[[#This Row],[ind]]),"")</f>
        <v/>
      </c>
      <c r="K210" s="86" t="str">
        <f>IF(games[[#This Row],[played]],INDEX(pages!$J$1:$J$759,games[[#This Row],[ind]]),"")</f>
        <v/>
      </c>
      <c r="L210" s="87" t="str">
        <f ca="1">INDEX(fields[char],MATCH(games[[#This Row],[field]],fields[field],0))&amp;IF(games[[#This Row],[tag]]="-","","("&amp;games[[#This Row],[tag]]&amp;")")</f>
        <v>v()</v>
      </c>
    </row>
    <row r="211" spans="1:12" x14ac:dyDescent="0.35">
      <c r="A211" s="1">
        <f t="shared" si="4"/>
        <v>42</v>
      </c>
      <c r="B211" s="1" t="s">
        <v>54</v>
      </c>
      <c r="C211" s="86">
        <f>INDEX(fields[column],MATCH(games[[#This Row],[field]],fields[field],0))</f>
        <v>5</v>
      </c>
      <c r="D211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11" s="87" t="str">
        <f ca="1">IF(LEN(games[[#This Row],[pair]])=3,MID(games[[#This Row],[pair]],2,1),"")</f>
        <v/>
      </c>
      <c r="F211" s="86">
        <f t="array" ref="F211">MATCH(1,(pages!$A$1:$A$957=games[[#This Row],[r]])*(pages!$B$1:$B$957=games[[#This Row],[field]]),0)</f>
        <v>233</v>
      </c>
      <c r="G211" s="86" t="b">
        <f>INDEX(pages!$L$1:$L$957,games[[#This Row],[ind]])</f>
        <v>0</v>
      </c>
      <c r="H211" s="86" t="str">
        <f ca="1">_xlfn.IFNA(IF(LEN(games[[#This Row],[pair]])=3,INDEX(teams[id],MATCH(LEFT(games[[#This Row],[pair]]),teams[char],0)),""),"")</f>
        <v/>
      </c>
      <c r="I211" s="86" t="str">
        <f ca="1">_xlfn.IFNA(IF(LEN(games[[#This Row],[pair]])=3,INDEX(teams[id],MATCH(RIGHT(games[[#This Row],[pair]]),teams[char],0)),""),"")</f>
        <v/>
      </c>
      <c r="J211" s="86" t="str">
        <f>IF(games[[#This Row],[played]],INDEX(pages!$I$1:$I$759,games[[#This Row],[ind]]),"")</f>
        <v/>
      </c>
      <c r="K211" s="86" t="str">
        <f>IF(games[[#This Row],[played]],INDEX(pages!$J$1:$J$759,games[[#This Row],[ind]]),"")</f>
        <v/>
      </c>
      <c r="L211" s="87" t="str">
        <f ca="1">INDEX(fields[char],MATCH(games[[#This Row],[field]],fields[field],0))&amp;IF(games[[#This Row],[tag]]="-","","("&amp;games[[#This Row],[tag]]&amp;")")</f>
        <v>m()</v>
      </c>
    </row>
    <row r="212" spans="1:12" x14ac:dyDescent="0.35">
      <c r="A212" s="1">
        <f t="shared" si="4"/>
        <v>43</v>
      </c>
      <c r="B212" s="1" t="s">
        <v>3</v>
      </c>
      <c r="C212" s="86">
        <f>INDEX(fields[column],MATCH(games[[#This Row],[field]],fields[field],0))</f>
        <v>1</v>
      </c>
      <c r="D212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12" s="87" t="str">
        <f ca="1">IF(LEN(games[[#This Row],[pair]])=3,MID(games[[#This Row],[pair]],2,1),"")</f>
        <v/>
      </c>
      <c r="F212" s="86">
        <f t="array" ref="F212">MATCH(1,(pages!$A$1:$A$957=games[[#This Row],[r]])*(pages!$B$1:$B$957=games[[#This Row],[field]]),0)</f>
        <v>234</v>
      </c>
      <c r="G212" s="86" t="b">
        <f>INDEX(pages!$L$1:$L$957,games[[#This Row],[ind]])</f>
        <v>0</v>
      </c>
      <c r="H212" s="86" t="str">
        <f ca="1">_xlfn.IFNA(IF(LEN(games[[#This Row],[pair]])=3,INDEX(teams[id],MATCH(LEFT(games[[#This Row],[pair]]),teams[char],0)),""),"")</f>
        <v/>
      </c>
      <c r="I212" s="86" t="str">
        <f ca="1">_xlfn.IFNA(IF(LEN(games[[#This Row],[pair]])=3,INDEX(teams[id],MATCH(RIGHT(games[[#This Row],[pair]]),teams[char],0)),""),"")</f>
        <v/>
      </c>
      <c r="J212" s="86" t="str">
        <f>IF(games[[#This Row],[played]],INDEX(pages!$I$1:$I$759,games[[#This Row],[ind]]),"")</f>
        <v/>
      </c>
      <c r="K212" s="86" t="str">
        <f>IF(games[[#This Row],[played]],INDEX(pages!$J$1:$J$759,games[[#This Row],[ind]]),"")</f>
        <v/>
      </c>
      <c r="L212" s="87" t="str">
        <f ca="1">INDEX(fields[char],MATCH(games[[#This Row],[field]],fields[field],0))&amp;IF(games[[#This Row],[tag]]="-","","("&amp;games[[#This Row],[tag]]&amp;")")</f>
        <v>p()</v>
      </c>
    </row>
    <row r="213" spans="1:12" x14ac:dyDescent="0.35">
      <c r="A213" s="1">
        <f t="shared" si="4"/>
        <v>43</v>
      </c>
      <c r="B213" s="1" t="s">
        <v>4</v>
      </c>
      <c r="C213" s="86">
        <f>INDEX(fields[column],MATCH(games[[#This Row],[field]],fields[field],0))</f>
        <v>2</v>
      </c>
      <c r="D213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13" s="87" t="str">
        <f ca="1">IF(LEN(games[[#This Row],[pair]])=3,MID(games[[#This Row],[pair]],2,1),"")</f>
        <v/>
      </c>
      <c r="F213" s="86">
        <f t="array" ref="F213">MATCH(1,(pages!$A$1:$A$957=games[[#This Row],[r]])*(pages!$B$1:$B$957=games[[#This Row],[field]]),0)</f>
        <v>235</v>
      </c>
      <c r="G213" s="86" t="b">
        <f>INDEX(pages!$L$1:$L$957,games[[#This Row],[ind]])</f>
        <v>0</v>
      </c>
      <c r="H213" s="86" t="str">
        <f ca="1">_xlfn.IFNA(IF(LEN(games[[#This Row],[pair]])=3,INDEX(teams[id],MATCH(LEFT(games[[#This Row],[pair]]),teams[char],0)),""),"")</f>
        <v/>
      </c>
      <c r="I213" s="86" t="str">
        <f ca="1">_xlfn.IFNA(IF(LEN(games[[#This Row],[pair]])=3,INDEX(teams[id],MATCH(RIGHT(games[[#This Row],[pair]]),teams[char],0)),""),"")</f>
        <v/>
      </c>
      <c r="J213" s="86" t="str">
        <f>IF(games[[#This Row],[played]],INDEX(pages!$I$1:$I$759,games[[#This Row],[ind]]),"")</f>
        <v/>
      </c>
      <c r="K213" s="86" t="str">
        <f>IF(games[[#This Row],[played]],INDEX(pages!$J$1:$J$759,games[[#This Row],[ind]]),"")</f>
        <v/>
      </c>
      <c r="L213" s="87" t="str">
        <f ca="1">INDEX(fields[char],MATCH(games[[#This Row],[field]],fields[field],0))&amp;IF(games[[#This Row],[tag]]="-","","("&amp;games[[#This Row],[tag]]&amp;")")</f>
        <v>p()</v>
      </c>
    </row>
    <row r="214" spans="1:12" x14ac:dyDescent="0.35">
      <c r="A214" s="1">
        <f t="shared" si="4"/>
        <v>43</v>
      </c>
      <c r="B214" s="1" t="s">
        <v>5</v>
      </c>
      <c r="C214" s="86">
        <f>INDEX(fields[column],MATCH(games[[#This Row],[field]],fields[field],0))</f>
        <v>3</v>
      </c>
      <c r="D214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14" s="87" t="str">
        <f ca="1">IF(LEN(games[[#This Row],[pair]])=3,MID(games[[#This Row],[pair]],2,1),"")</f>
        <v/>
      </c>
      <c r="F214" s="86">
        <f t="array" ref="F214">MATCH(1,(pages!$A$1:$A$957=games[[#This Row],[r]])*(pages!$B$1:$B$957=games[[#This Row],[field]]),0)</f>
        <v>236</v>
      </c>
      <c r="G214" s="86" t="b">
        <f>INDEX(pages!$L$1:$L$957,games[[#This Row],[ind]])</f>
        <v>0</v>
      </c>
      <c r="H214" s="86" t="str">
        <f ca="1">_xlfn.IFNA(IF(LEN(games[[#This Row],[pair]])=3,INDEX(teams[id],MATCH(LEFT(games[[#This Row],[pair]]),teams[char],0)),""),"")</f>
        <v/>
      </c>
      <c r="I214" s="86" t="str">
        <f ca="1">_xlfn.IFNA(IF(LEN(games[[#This Row],[pair]])=3,INDEX(teams[id],MATCH(RIGHT(games[[#This Row],[pair]]),teams[char],0)),""),"")</f>
        <v/>
      </c>
      <c r="J214" s="86" t="str">
        <f>IF(games[[#This Row],[played]],INDEX(pages!$I$1:$I$759,games[[#This Row],[ind]]),"")</f>
        <v/>
      </c>
      <c r="K214" s="86" t="str">
        <f>IF(games[[#This Row],[played]],INDEX(pages!$J$1:$J$759,games[[#This Row],[ind]]),"")</f>
        <v/>
      </c>
      <c r="L214" s="87" t="str">
        <f ca="1">INDEX(fields[char],MATCH(games[[#This Row],[field]],fields[field],0))&amp;IF(games[[#This Row],[tag]]="-","","("&amp;games[[#This Row],[tag]]&amp;")")</f>
        <v>k()</v>
      </c>
    </row>
    <row r="215" spans="1:12" x14ac:dyDescent="0.35">
      <c r="A215" s="1">
        <f t="shared" si="4"/>
        <v>43</v>
      </c>
      <c r="B215" s="1" t="s">
        <v>53</v>
      </c>
      <c r="C215" s="86">
        <f>INDEX(fields[column],MATCH(games[[#This Row],[field]],fields[field],0))</f>
        <v>4</v>
      </c>
      <c r="D215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15" s="87" t="str">
        <f ca="1">IF(LEN(games[[#This Row],[pair]])=3,MID(games[[#This Row],[pair]],2,1),"")</f>
        <v/>
      </c>
      <c r="F215" s="86">
        <f t="array" ref="F215">MATCH(1,(pages!$A$1:$A$957=games[[#This Row],[r]])*(pages!$B$1:$B$957=games[[#This Row],[field]]),0)</f>
        <v>237</v>
      </c>
      <c r="G215" s="86" t="b">
        <f>INDEX(pages!$L$1:$L$957,games[[#This Row],[ind]])</f>
        <v>0</v>
      </c>
      <c r="H215" s="86" t="str">
        <f ca="1">_xlfn.IFNA(IF(LEN(games[[#This Row],[pair]])=3,INDEX(teams[id],MATCH(LEFT(games[[#This Row],[pair]]),teams[char],0)),""),"")</f>
        <v/>
      </c>
      <c r="I215" s="86" t="str">
        <f ca="1">_xlfn.IFNA(IF(LEN(games[[#This Row],[pair]])=3,INDEX(teams[id],MATCH(RIGHT(games[[#This Row],[pair]]),teams[char],0)),""),"")</f>
        <v/>
      </c>
      <c r="J215" s="86" t="str">
        <f>IF(games[[#This Row],[played]],INDEX(pages!$I$1:$I$759,games[[#This Row],[ind]]),"")</f>
        <v/>
      </c>
      <c r="K215" s="86" t="str">
        <f>IF(games[[#This Row],[played]],INDEX(pages!$J$1:$J$759,games[[#This Row],[ind]]),"")</f>
        <v/>
      </c>
      <c r="L215" s="87" t="str">
        <f ca="1">INDEX(fields[char],MATCH(games[[#This Row],[field]],fields[field],0))&amp;IF(games[[#This Row],[tag]]="-","","("&amp;games[[#This Row],[tag]]&amp;")")</f>
        <v>v()</v>
      </c>
    </row>
    <row r="216" spans="1:12" x14ac:dyDescent="0.35">
      <c r="A216" s="1">
        <f t="shared" si="4"/>
        <v>43</v>
      </c>
      <c r="B216" s="1" t="s">
        <v>54</v>
      </c>
      <c r="C216" s="86">
        <f>INDEX(fields[column],MATCH(games[[#This Row],[field]],fields[field],0))</f>
        <v>5</v>
      </c>
      <c r="D216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16" s="87" t="str">
        <f ca="1">IF(LEN(games[[#This Row],[pair]])=3,MID(games[[#This Row],[pair]],2,1),"")</f>
        <v/>
      </c>
      <c r="F216" s="86">
        <f t="array" ref="F216">MATCH(1,(pages!$A$1:$A$957=games[[#This Row],[r]])*(pages!$B$1:$B$957=games[[#This Row],[field]]),0)</f>
        <v>238</v>
      </c>
      <c r="G216" s="86" t="b">
        <f>INDEX(pages!$L$1:$L$957,games[[#This Row],[ind]])</f>
        <v>0</v>
      </c>
      <c r="H216" s="86" t="str">
        <f ca="1">_xlfn.IFNA(IF(LEN(games[[#This Row],[pair]])=3,INDEX(teams[id],MATCH(LEFT(games[[#This Row],[pair]]),teams[char],0)),""),"")</f>
        <v/>
      </c>
      <c r="I216" s="86" t="str">
        <f ca="1">_xlfn.IFNA(IF(LEN(games[[#This Row],[pair]])=3,INDEX(teams[id],MATCH(RIGHT(games[[#This Row],[pair]]),teams[char],0)),""),"")</f>
        <v/>
      </c>
      <c r="J216" s="86" t="str">
        <f>IF(games[[#This Row],[played]],INDEX(pages!$I$1:$I$759,games[[#This Row],[ind]]),"")</f>
        <v/>
      </c>
      <c r="K216" s="86" t="str">
        <f>IF(games[[#This Row],[played]],INDEX(pages!$J$1:$J$759,games[[#This Row],[ind]]),"")</f>
        <v/>
      </c>
      <c r="L216" s="87" t="str">
        <f ca="1">INDEX(fields[char],MATCH(games[[#This Row],[field]],fields[field],0))&amp;IF(games[[#This Row],[tag]]="-","","("&amp;games[[#This Row],[tag]]&amp;")")</f>
        <v>m()</v>
      </c>
    </row>
    <row r="217" spans="1:12" x14ac:dyDescent="0.35">
      <c r="A217" s="1">
        <f t="shared" si="4"/>
        <v>44</v>
      </c>
      <c r="B217" s="1" t="s">
        <v>3</v>
      </c>
      <c r="C217" s="86">
        <f>INDEX(fields[column],MATCH(games[[#This Row],[field]],fields[field],0))</f>
        <v>1</v>
      </c>
      <c r="D217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17" s="87" t="str">
        <f ca="1">IF(LEN(games[[#This Row],[pair]])=3,MID(games[[#This Row],[pair]],2,1),"")</f>
        <v/>
      </c>
      <c r="F217" s="86">
        <f t="array" ref="F217">MATCH(1,(pages!$A$1:$A$957=games[[#This Row],[r]])*(pages!$B$1:$B$957=games[[#This Row],[field]]),0)</f>
        <v>239</v>
      </c>
      <c r="G217" s="86" t="b">
        <f>INDEX(pages!$L$1:$L$957,games[[#This Row],[ind]])</f>
        <v>0</v>
      </c>
      <c r="H217" s="86" t="str">
        <f ca="1">_xlfn.IFNA(IF(LEN(games[[#This Row],[pair]])=3,INDEX(teams[id],MATCH(LEFT(games[[#This Row],[pair]]),teams[char],0)),""),"")</f>
        <v/>
      </c>
      <c r="I217" s="86" t="str">
        <f ca="1">_xlfn.IFNA(IF(LEN(games[[#This Row],[pair]])=3,INDEX(teams[id],MATCH(RIGHT(games[[#This Row],[pair]]),teams[char],0)),""),"")</f>
        <v/>
      </c>
      <c r="J217" s="86" t="str">
        <f>IF(games[[#This Row],[played]],INDEX(pages!$I$1:$I$759,games[[#This Row],[ind]]),"")</f>
        <v/>
      </c>
      <c r="K217" s="86" t="str">
        <f>IF(games[[#This Row],[played]],INDEX(pages!$J$1:$J$759,games[[#This Row],[ind]]),"")</f>
        <v/>
      </c>
      <c r="L217" s="87" t="str">
        <f ca="1">INDEX(fields[char],MATCH(games[[#This Row],[field]],fields[field],0))&amp;IF(games[[#This Row],[tag]]="-","","("&amp;games[[#This Row],[tag]]&amp;")")</f>
        <v>p()</v>
      </c>
    </row>
    <row r="218" spans="1:12" x14ac:dyDescent="0.35">
      <c r="A218" s="1">
        <f t="shared" si="4"/>
        <v>44</v>
      </c>
      <c r="B218" s="1" t="s">
        <v>4</v>
      </c>
      <c r="C218" s="86">
        <f>INDEX(fields[column],MATCH(games[[#This Row],[field]],fields[field],0))</f>
        <v>2</v>
      </c>
      <c r="D218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18" s="87" t="str">
        <f ca="1">IF(LEN(games[[#This Row],[pair]])=3,MID(games[[#This Row],[pair]],2,1),"")</f>
        <v/>
      </c>
      <c r="F218" s="86">
        <f t="array" ref="F218">MATCH(1,(pages!$A$1:$A$957=games[[#This Row],[r]])*(pages!$B$1:$B$957=games[[#This Row],[field]]),0)</f>
        <v>240</v>
      </c>
      <c r="G218" s="86" t="b">
        <f>INDEX(pages!$L$1:$L$957,games[[#This Row],[ind]])</f>
        <v>0</v>
      </c>
      <c r="H218" s="86" t="str">
        <f ca="1">_xlfn.IFNA(IF(LEN(games[[#This Row],[pair]])=3,INDEX(teams[id],MATCH(LEFT(games[[#This Row],[pair]]),teams[char],0)),""),"")</f>
        <v/>
      </c>
      <c r="I218" s="86" t="str">
        <f ca="1">_xlfn.IFNA(IF(LEN(games[[#This Row],[pair]])=3,INDEX(teams[id],MATCH(RIGHT(games[[#This Row],[pair]]),teams[char],0)),""),"")</f>
        <v/>
      </c>
      <c r="J218" s="86" t="str">
        <f>IF(games[[#This Row],[played]],INDEX(pages!$I$1:$I$759,games[[#This Row],[ind]]),"")</f>
        <v/>
      </c>
      <c r="K218" s="86" t="str">
        <f>IF(games[[#This Row],[played]],INDEX(pages!$J$1:$J$759,games[[#This Row],[ind]]),"")</f>
        <v/>
      </c>
      <c r="L218" s="87" t="str">
        <f ca="1">INDEX(fields[char],MATCH(games[[#This Row],[field]],fields[field],0))&amp;IF(games[[#This Row],[tag]]="-","","("&amp;games[[#This Row],[tag]]&amp;")")</f>
        <v>p()</v>
      </c>
    </row>
    <row r="219" spans="1:12" x14ac:dyDescent="0.35">
      <c r="A219" s="1">
        <f t="shared" si="4"/>
        <v>44</v>
      </c>
      <c r="B219" s="1" t="s">
        <v>5</v>
      </c>
      <c r="C219" s="86">
        <f>INDEX(fields[column],MATCH(games[[#This Row],[field]],fields[field],0))</f>
        <v>3</v>
      </c>
      <c r="D219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19" s="87" t="str">
        <f ca="1">IF(LEN(games[[#This Row],[pair]])=3,MID(games[[#This Row],[pair]],2,1),"")</f>
        <v/>
      </c>
      <c r="F219" s="86">
        <f t="array" ref="F219">MATCH(1,(pages!$A$1:$A$957=games[[#This Row],[r]])*(pages!$B$1:$B$957=games[[#This Row],[field]]),0)</f>
        <v>241</v>
      </c>
      <c r="G219" s="86" t="b">
        <f>INDEX(pages!$L$1:$L$957,games[[#This Row],[ind]])</f>
        <v>0</v>
      </c>
      <c r="H219" s="86" t="str">
        <f ca="1">_xlfn.IFNA(IF(LEN(games[[#This Row],[pair]])=3,INDEX(teams[id],MATCH(LEFT(games[[#This Row],[pair]]),teams[char],0)),""),"")</f>
        <v/>
      </c>
      <c r="I219" s="86" t="str">
        <f ca="1">_xlfn.IFNA(IF(LEN(games[[#This Row],[pair]])=3,INDEX(teams[id],MATCH(RIGHT(games[[#This Row],[pair]]),teams[char],0)),""),"")</f>
        <v/>
      </c>
      <c r="J219" s="86" t="str">
        <f>IF(games[[#This Row],[played]],INDEX(pages!$I$1:$I$759,games[[#This Row],[ind]]),"")</f>
        <v/>
      </c>
      <c r="K219" s="86" t="str">
        <f>IF(games[[#This Row],[played]],INDEX(pages!$J$1:$J$759,games[[#This Row],[ind]]),"")</f>
        <v/>
      </c>
      <c r="L219" s="87" t="str">
        <f ca="1">INDEX(fields[char],MATCH(games[[#This Row],[field]],fields[field],0))&amp;IF(games[[#This Row],[tag]]="-","","("&amp;games[[#This Row],[tag]]&amp;")")</f>
        <v>k()</v>
      </c>
    </row>
    <row r="220" spans="1:12" x14ac:dyDescent="0.35">
      <c r="A220" s="1">
        <f t="shared" si="4"/>
        <v>44</v>
      </c>
      <c r="B220" s="1" t="s">
        <v>53</v>
      </c>
      <c r="C220" s="86">
        <f>INDEX(fields[column],MATCH(games[[#This Row],[field]],fields[field],0))</f>
        <v>4</v>
      </c>
      <c r="D220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20" s="87" t="str">
        <f ca="1">IF(LEN(games[[#This Row],[pair]])=3,MID(games[[#This Row],[pair]],2,1),"")</f>
        <v/>
      </c>
      <c r="F220" s="86">
        <f t="array" ref="F220">MATCH(1,(pages!$A$1:$A$957=games[[#This Row],[r]])*(pages!$B$1:$B$957=games[[#This Row],[field]]),0)</f>
        <v>242</v>
      </c>
      <c r="G220" s="86" t="b">
        <f>INDEX(pages!$L$1:$L$957,games[[#This Row],[ind]])</f>
        <v>0</v>
      </c>
      <c r="H220" s="86" t="str">
        <f ca="1">_xlfn.IFNA(IF(LEN(games[[#This Row],[pair]])=3,INDEX(teams[id],MATCH(LEFT(games[[#This Row],[pair]]),teams[char],0)),""),"")</f>
        <v/>
      </c>
      <c r="I220" s="86" t="str">
        <f ca="1">_xlfn.IFNA(IF(LEN(games[[#This Row],[pair]])=3,INDEX(teams[id],MATCH(RIGHT(games[[#This Row],[pair]]),teams[char],0)),""),"")</f>
        <v/>
      </c>
      <c r="J220" s="86" t="str">
        <f>IF(games[[#This Row],[played]],INDEX(pages!$I$1:$I$759,games[[#This Row],[ind]]),"")</f>
        <v/>
      </c>
      <c r="K220" s="86" t="str">
        <f>IF(games[[#This Row],[played]],INDEX(pages!$J$1:$J$759,games[[#This Row],[ind]]),"")</f>
        <v/>
      </c>
      <c r="L220" s="87" t="str">
        <f ca="1">INDEX(fields[char],MATCH(games[[#This Row],[field]],fields[field],0))&amp;IF(games[[#This Row],[tag]]="-","","("&amp;games[[#This Row],[tag]]&amp;")")</f>
        <v>v()</v>
      </c>
    </row>
    <row r="221" spans="1:12" x14ac:dyDescent="0.35">
      <c r="A221" s="1">
        <f t="shared" si="4"/>
        <v>44</v>
      </c>
      <c r="B221" s="1" t="s">
        <v>54</v>
      </c>
      <c r="C221" s="86">
        <f>INDEX(fields[column],MATCH(games[[#This Row],[field]],fields[field],0))</f>
        <v>5</v>
      </c>
      <c r="D221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21" s="87" t="str">
        <f ca="1">IF(LEN(games[[#This Row],[pair]])=3,MID(games[[#This Row],[pair]],2,1),"")</f>
        <v/>
      </c>
      <c r="F221" s="86">
        <f t="array" ref="F221">MATCH(1,(pages!$A$1:$A$957=games[[#This Row],[r]])*(pages!$B$1:$B$957=games[[#This Row],[field]]),0)</f>
        <v>243</v>
      </c>
      <c r="G221" s="86" t="b">
        <f>INDEX(pages!$L$1:$L$957,games[[#This Row],[ind]])</f>
        <v>0</v>
      </c>
      <c r="H221" s="86" t="str">
        <f ca="1">_xlfn.IFNA(IF(LEN(games[[#This Row],[pair]])=3,INDEX(teams[id],MATCH(LEFT(games[[#This Row],[pair]]),teams[char],0)),""),"")</f>
        <v/>
      </c>
      <c r="I221" s="86" t="str">
        <f ca="1">_xlfn.IFNA(IF(LEN(games[[#This Row],[pair]])=3,INDEX(teams[id],MATCH(RIGHT(games[[#This Row],[pair]]),teams[char],0)),""),"")</f>
        <v/>
      </c>
      <c r="J221" s="86" t="str">
        <f>IF(games[[#This Row],[played]],INDEX(pages!$I$1:$I$759,games[[#This Row],[ind]]),"")</f>
        <v/>
      </c>
      <c r="K221" s="86" t="str">
        <f>IF(games[[#This Row],[played]],INDEX(pages!$J$1:$J$759,games[[#This Row],[ind]]),"")</f>
        <v/>
      </c>
      <c r="L221" s="87" t="str">
        <f ca="1">INDEX(fields[char],MATCH(games[[#This Row],[field]],fields[field],0))&amp;IF(games[[#This Row],[tag]]="-","","("&amp;games[[#This Row],[tag]]&amp;")")</f>
        <v>m()</v>
      </c>
    </row>
    <row r="222" spans="1:12" x14ac:dyDescent="0.35">
      <c r="A222" s="1">
        <f t="shared" si="4"/>
        <v>45</v>
      </c>
      <c r="B222" s="1" t="s">
        <v>3</v>
      </c>
      <c r="C222" s="86">
        <f>INDEX(fields[column],MATCH(games[[#This Row],[field]],fields[field],0))</f>
        <v>1</v>
      </c>
      <c r="D222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22" s="87" t="str">
        <f ca="1">IF(LEN(games[[#This Row],[pair]])=3,MID(games[[#This Row],[pair]],2,1),"")</f>
        <v/>
      </c>
      <c r="F222" s="86">
        <f t="array" ref="F222">MATCH(1,(pages!$A$1:$A$957=games[[#This Row],[r]])*(pages!$B$1:$B$957=games[[#This Row],[field]]),0)</f>
        <v>246</v>
      </c>
      <c r="G222" s="86" t="b">
        <f>INDEX(pages!$L$1:$L$957,games[[#This Row],[ind]])</f>
        <v>0</v>
      </c>
      <c r="H222" s="86" t="str">
        <f ca="1">_xlfn.IFNA(IF(LEN(games[[#This Row],[pair]])=3,INDEX(teams[id],MATCH(LEFT(games[[#This Row],[pair]]),teams[char],0)),""),"")</f>
        <v/>
      </c>
      <c r="I222" s="86" t="str">
        <f ca="1">_xlfn.IFNA(IF(LEN(games[[#This Row],[pair]])=3,INDEX(teams[id],MATCH(RIGHT(games[[#This Row],[pair]]),teams[char],0)),""),"")</f>
        <v/>
      </c>
      <c r="J222" s="86" t="str">
        <f>IF(games[[#This Row],[played]],INDEX(pages!$I$1:$I$759,games[[#This Row],[ind]]),"")</f>
        <v/>
      </c>
      <c r="K222" s="86" t="str">
        <f>IF(games[[#This Row],[played]],INDEX(pages!$J$1:$J$759,games[[#This Row],[ind]]),"")</f>
        <v/>
      </c>
      <c r="L222" s="87" t="str">
        <f ca="1">INDEX(fields[char],MATCH(games[[#This Row],[field]],fields[field],0))&amp;IF(games[[#This Row],[tag]]="-","","("&amp;games[[#This Row],[tag]]&amp;")")</f>
        <v>p()</v>
      </c>
    </row>
    <row r="223" spans="1:12" x14ac:dyDescent="0.35">
      <c r="A223" s="1">
        <f t="shared" si="4"/>
        <v>45</v>
      </c>
      <c r="B223" s="1" t="s">
        <v>4</v>
      </c>
      <c r="C223" s="86">
        <f>INDEX(fields[column],MATCH(games[[#This Row],[field]],fields[field],0))</f>
        <v>2</v>
      </c>
      <c r="D223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23" s="87" t="str">
        <f ca="1">IF(LEN(games[[#This Row],[pair]])=3,MID(games[[#This Row],[pair]],2,1),"")</f>
        <v/>
      </c>
      <c r="F223" s="86">
        <f t="array" ref="F223">MATCH(1,(pages!$A$1:$A$957=games[[#This Row],[r]])*(pages!$B$1:$B$957=games[[#This Row],[field]]),0)</f>
        <v>247</v>
      </c>
      <c r="G223" s="86" t="b">
        <f>INDEX(pages!$L$1:$L$957,games[[#This Row],[ind]])</f>
        <v>0</v>
      </c>
      <c r="H223" s="86" t="str">
        <f ca="1">_xlfn.IFNA(IF(LEN(games[[#This Row],[pair]])=3,INDEX(teams[id],MATCH(LEFT(games[[#This Row],[pair]]),teams[char],0)),""),"")</f>
        <v/>
      </c>
      <c r="I223" s="86" t="str">
        <f ca="1">_xlfn.IFNA(IF(LEN(games[[#This Row],[pair]])=3,INDEX(teams[id],MATCH(RIGHT(games[[#This Row],[pair]]),teams[char],0)),""),"")</f>
        <v/>
      </c>
      <c r="J223" s="86" t="str">
        <f>IF(games[[#This Row],[played]],INDEX(pages!$I$1:$I$759,games[[#This Row],[ind]]),"")</f>
        <v/>
      </c>
      <c r="K223" s="86" t="str">
        <f>IF(games[[#This Row],[played]],INDEX(pages!$J$1:$J$759,games[[#This Row],[ind]]),"")</f>
        <v/>
      </c>
      <c r="L223" s="87" t="str">
        <f ca="1">INDEX(fields[char],MATCH(games[[#This Row],[field]],fields[field],0))&amp;IF(games[[#This Row],[tag]]="-","","("&amp;games[[#This Row],[tag]]&amp;")")</f>
        <v>p()</v>
      </c>
    </row>
    <row r="224" spans="1:12" x14ac:dyDescent="0.35">
      <c r="A224" s="1">
        <f t="shared" si="4"/>
        <v>45</v>
      </c>
      <c r="B224" s="1" t="s">
        <v>5</v>
      </c>
      <c r="C224" s="86">
        <f>INDEX(fields[column],MATCH(games[[#This Row],[field]],fields[field],0))</f>
        <v>3</v>
      </c>
      <c r="D224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24" s="87" t="str">
        <f ca="1">IF(LEN(games[[#This Row],[pair]])=3,MID(games[[#This Row],[pair]],2,1),"")</f>
        <v/>
      </c>
      <c r="F224" s="86">
        <f t="array" ref="F224">MATCH(1,(pages!$A$1:$A$957=games[[#This Row],[r]])*(pages!$B$1:$B$957=games[[#This Row],[field]]),0)</f>
        <v>248</v>
      </c>
      <c r="G224" s="86" t="b">
        <f>INDEX(pages!$L$1:$L$957,games[[#This Row],[ind]])</f>
        <v>0</v>
      </c>
      <c r="H224" s="86" t="str">
        <f ca="1">_xlfn.IFNA(IF(LEN(games[[#This Row],[pair]])=3,INDEX(teams[id],MATCH(LEFT(games[[#This Row],[pair]]),teams[char],0)),""),"")</f>
        <v/>
      </c>
      <c r="I224" s="86" t="str">
        <f ca="1">_xlfn.IFNA(IF(LEN(games[[#This Row],[pair]])=3,INDEX(teams[id],MATCH(RIGHT(games[[#This Row],[pair]]),teams[char],0)),""),"")</f>
        <v/>
      </c>
      <c r="J224" s="86" t="str">
        <f>IF(games[[#This Row],[played]],INDEX(pages!$I$1:$I$759,games[[#This Row],[ind]]),"")</f>
        <v/>
      </c>
      <c r="K224" s="86" t="str">
        <f>IF(games[[#This Row],[played]],INDEX(pages!$J$1:$J$759,games[[#This Row],[ind]]),"")</f>
        <v/>
      </c>
      <c r="L224" s="87" t="str">
        <f ca="1">INDEX(fields[char],MATCH(games[[#This Row],[field]],fields[field],0))&amp;IF(games[[#This Row],[tag]]="-","","("&amp;games[[#This Row],[tag]]&amp;")")</f>
        <v>k()</v>
      </c>
    </row>
    <row r="225" spans="1:12" x14ac:dyDescent="0.35">
      <c r="A225" s="1">
        <f t="shared" si="4"/>
        <v>45</v>
      </c>
      <c r="B225" s="1" t="s">
        <v>53</v>
      </c>
      <c r="C225" s="86">
        <f>INDEX(fields[column],MATCH(games[[#This Row],[field]],fields[field],0))</f>
        <v>4</v>
      </c>
      <c r="D225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25" s="87" t="str">
        <f ca="1">IF(LEN(games[[#This Row],[pair]])=3,MID(games[[#This Row],[pair]],2,1),"")</f>
        <v/>
      </c>
      <c r="F225" s="86">
        <f t="array" ref="F225">MATCH(1,(pages!$A$1:$A$957=games[[#This Row],[r]])*(pages!$B$1:$B$957=games[[#This Row],[field]]),0)</f>
        <v>249</v>
      </c>
      <c r="G225" s="86" t="b">
        <f>INDEX(pages!$L$1:$L$957,games[[#This Row],[ind]])</f>
        <v>0</v>
      </c>
      <c r="H225" s="86" t="str">
        <f ca="1">_xlfn.IFNA(IF(LEN(games[[#This Row],[pair]])=3,INDEX(teams[id],MATCH(LEFT(games[[#This Row],[pair]]),teams[char],0)),""),"")</f>
        <v/>
      </c>
      <c r="I225" s="86" t="str">
        <f ca="1">_xlfn.IFNA(IF(LEN(games[[#This Row],[pair]])=3,INDEX(teams[id],MATCH(RIGHT(games[[#This Row],[pair]]),teams[char],0)),""),"")</f>
        <v/>
      </c>
      <c r="J225" s="86" t="str">
        <f>IF(games[[#This Row],[played]],INDEX(pages!$I$1:$I$759,games[[#This Row],[ind]]),"")</f>
        <v/>
      </c>
      <c r="K225" s="86" t="str">
        <f>IF(games[[#This Row],[played]],INDEX(pages!$J$1:$J$759,games[[#This Row],[ind]]),"")</f>
        <v/>
      </c>
      <c r="L225" s="87" t="str">
        <f ca="1">INDEX(fields[char],MATCH(games[[#This Row],[field]],fields[field],0))&amp;IF(games[[#This Row],[tag]]="-","","("&amp;games[[#This Row],[tag]]&amp;")")</f>
        <v>v()</v>
      </c>
    </row>
    <row r="226" spans="1:12" x14ac:dyDescent="0.35">
      <c r="A226" s="1">
        <f t="shared" si="4"/>
        <v>45</v>
      </c>
      <c r="B226" s="1" t="s">
        <v>54</v>
      </c>
      <c r="C226" s="86">
        <f>INDEX(fields[column],MATCH(games[[#This Row],[field]],fields[field],0))</f>
        <v>5</v>
      </c>
      <c r="D226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26" s="87" t="str">
        <f ca="1">IF(LEN(games[[#This Row],[pair]])=3,MID(games[[#This Row],[pair]],2,1),"")</f>
        <v/>
      </c>
      <c r="F226" s="86">
        <f t="array" ref="F226">MATCH(1,(pages!$A$1:$A$957=games[[#This Row],[r]])*(pages!$B$1:$B$957=games[[#This Row],[field]]),0)</f>
        <v>250</v>
      </c>
      <c r="G226" s="86" t="b">
        <f>INDEX(pages!$L$1:$L$957,games[[#This Row],[ind]])</f>
        <v>0</v>
      </c>
      <c r="H226" s="86" t="str">
        <f ca="1">_xlfn.IFNA(IF(LEN(games[[#This Row],[pair]])=3,INDEX(teams[id],MATCH(LEFT(games[[#This Row],[pair]]),teams[char],0)),""),"")</f>
        <v/>
      </c>
      <c r="I226" s="86" t="str">
        <f ca="1">_xlfn.IFNA(IF(LEN(games[[#This Row],[pair]])=3,INDEX(teams[id],MATCH(RIGHT(games[[#This Row],[pair]]),teams[char],0)),""),"")</f>
        <v/>
      </c>
      <c r="J226" s="86" t="str">
        <f>IF(games[[#This Row],[played]],INDEX(pages!$I$1:$I$759,games[[#This Row],[ind]]),"")</f>
        <v/>
      </c>
      <c r="K226" s="86" t="str">
        <f>IF(games[[#This Row],[played]],INDEX(pages!$J$1:$J$759,games[[#This Row],[ind]]),"")</f>
        <v/>
      </c>
      <c r="L226" s="87" t="str">
        <f ca="1">INDEX(fields[char],MATCH(games[[#This Row],[field]],fields[field],0))&amp;IF(games[[#This Row],[tag]]="-","","("&amp;games[[#This Row],[tag]]&amp;")")</f>
        <v>m()</v>
      </c>
    </row>
    <row r="227" spans="1:12" x14ac:dyDescent="0.35">
      <c r="A227" s="1">
        <f t="shared" si="4"/>
        <v>46</v>
      </c>
      <c r="B227" s="1" t="s">
        <v>3</v>
      </c>
      <c r="C227" s="86">
        <f>INDEX(fields[column],MATCH(games[[#This Row],[field]],fields[field],0))</f>
        <v>1</v>
      </c>
      <c r="D227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27" s="87" t="str">
        <f ca="1">IF(LEN(games[[#This Row],[pair]])=3,MID(games[[#This Row],[pair]],2,1),"")</f>
        <v/>
      </c>
      <c r="F227" s="86">
        <f t="array" ref="F227">MATCH(1,(pages!$A$1:$A$957=games[[#This Row],[r]])*(pages!$B$1:$B$957=games[[#This Row],[field]]),0)</f>
        <v>251</v>
      </c>
      <c r="G227" s="86" t="b">
        <f>INDEX(pages!$L$1:$L$957,games[[#This Row],[ind]])</f>
        <v>0</v>
      </c>
      <c r="H227" s="86" t="str">
        <f ca="1">_xlfn.IFNA(IF(LEN(games[[#This Row],[pair]])=3,INDEX(teams[id],MATCH(LEFT(games[[#This Row],[pair]]),teams[char],0)),""),"")</f>
        <v/>
      </c>
      <c r="I227" s="86" t="str">
        <f ca="1">_xlfn.IFNA(IF(LEN(games[[#This Row],[pair]])=3,INDEX(teams[id],MATCH(RIGHT(games[[#This Row],[pair]]),teams[char],0)),""),"")</f>
        <v/>
      </c>
      <c r="J227" s="86" t="str">
        <f>IF(games[[#This Row],[played]],INDEX(pages!$I$1:$I$759,games[[#This Row],[ind]]),"")</f>
        <v/>
      </c>
      <c r="K227" s="86" t="str">
        <f>IF(games[[#This Row],[played]],INDEX(pages!$J$1:$J$759,games[[#This Row],[ind]]),"")</f>
        <v/>
      </c>
      <c r="L227" s="87" t="str">
        <f ca="1">INDEX(fields[char],MATCH(games[[#This Row],[field]],fields[field],0))&amp;IF(games[[#This Row],[tag]]="-","","("&amp;games[[#This Row],[tag]]&amp;")")</f>
        <v>p()</v>
      </c>
    </row>
    <row r="228" spans="1:12" x14ac:dyDescent="0.35">
      <c r="A228" s="1">
        <f t="shared" si="4"/>
        <v>46</v>
      </c>
      <c r="B228" s="1" t="s">
        <v>4</v>
      </c>
      <c r="C228" s="86">
        <f>INDEX(fields[column],MATCH(games[[#This Row],[field]],fields[field],0))</f>
        <v>2</v>
      </c>
      <c r="D228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28" s="87" t="str">
        <f ca="1">IF(LEN(games[[#This Row],[pair]])=3,MID(games[[#This Row],[pair]],2,1),"")</f>
        <v/>
      </c>
      <c r="F228" s="86">
        <f t="array" ref="F228">MATCH(1,(pages!$A$1:$A$957=games[[#This Row],[r]])*(pages!$B$1:$B$957=games[[#This Row],[field]]),0)</f>
        <v>252</v>
      </c>
      <c r="G228" s="86" t="b">
        <f>INDEX(pages!$L$1:$L$957,games[[#This Row],[ind]])</f>
        <v>0</v>
      </c>
      <c r="H228" s="86" t="str">
        <f ca="1">_xlfn.IFNA(IF(LEN(games[[#This Row],[pair]])=3,INDEX(teams[id],MATCH(LEFT(games[[#This Row],[pair]]),teams[char],0)),""),"")</f>
        <v/>
      </c>
      <c r="I228" s="86" t="str">
        <f ca="1">_xlfn.IFNA(IF(LEN(games[[#This Row],[pair]])=3,INDEX(teams[id],MATCH(RIGHT(games[[#This Row],[pair]]),teams[char],0)),""),"")</f>
        <v/>
      </c>
      <c r="J228" s="86" t="str">
        <f>IF(games[[#This Row],[played]],INDEX(pages!$I$1:$I$759,games[[#This Row],[ind]]),"")</f>
        <v/>
      </c>
      <c r="K228" s="86" t="str">
        <f>IF(games[[#This Row],[played]],INDEX(pages!$J$1:$J$759,games[[#This Row],[ind]]),"")</f>
        <v/>
      </c>
      <c r="L228" s="87" t="str">
        <f ca="1">INDEX(fields[char],MATCH(games[[#This Row],[field]],fields[field],0))&amp;IF(games[[#This Row],[tag]]="-","","("&amp;games[[#This Row],[tag]]&amp;")")</f>
        <v>p()</v>
      </c>
    </row>
    <row r="229" spans="1:12" x14ac:dyDescent="0.35">
      <c r="A229" s="1">
        <f t="shared" si="4"/>
        <v>46</v>
      </c>
      <c r="B229" s="1" t="s">
        <v>5</v>
      </c>
      <c r="C229" s="86">
        <f>INDEX(fields[column],MATCH(games[[#This Row],[field]],fields[field],0))</f>
        <v>3</v>
      </c>
      <c r="D229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29" s="87" t="str">
        <f ca="1">IF(LEN(games[[#This Row],[pair]])=3,MID(games[[#This Row],[pair]],2,1),"")</f>
        <v/>
      </c>
      <c r="F229" s="86">
        <f t="array" ref="F229">MATCH(1,(pages!$A$1:$A$957=games[[#This Row],[r]])*(pages!$B$1:$B$957=games[[#This Row],[field]]),0)</f>
        <v>253</v>
      </c>
      <c r="G229" s="86" t="b">
        <f>INDEX(pages!$L$1:$L$957,games[[#This Row],[ind]])</f>
        <v>0</v>
      </c>
      <c r="H229" s="86" t="str">
        <f ca="1">_xlfn.IFNA(IF(LEN(games[[#This Row],[pair]])=3,INDEX(teams[id],MATCH(LEFT(games[[#This Row],[pair]]),teams[char],0)),""),"")</f>
        <v/>
      </c>
      <c r="I229" s="86" t="str">
        <f ca="1">_xlfn.IFNA(IF(LEN(games[[#This Row],[pair]])=3,INDEX(teams[id],MATCH(RIGHT(games[[#This Row],[pair]]),teams[char],0)),""),"")</f>
        <v/>
      </c>
      <c r="J229" s="86" t="str">
        <f>IF(games[[#This Row],[played]],INDEX(pages!$I$1:$I$759,games[[#This Row],[ind]]),"")</f>
        <v/>
      </c>
      <c r="K229" s="86" t="str">
        <f>IF(games[[#This Row],[played]],INDEX(pages!$J$1:$J$759,games[[#This Row],[ind]]),"")</f>
        <v/>
      </c>
      <c r="L229" s="87" t="str">
        <f ca="1">INDEX(fields[char],MATCH(games[[#This Row],[field]],fields[field],0))&amp;IF(games[[#This Row],[tag]]="-","","("&amp;games[[#This Row],[tag]]&amp;")")</f>
        <v>k()</v>
      </c>
    </row>
    <row r="230" spans="1:12" x14ac:dyDescent="0.35">
      <c r="A230" s="1">
        <f t="shared" si="4"/>
        <v>46</v>
      </c>
      <c r="B230" s="1" t="s">
        <v>53</v>
      </c>
      <c r="C230" s="86">
        <f>INDEX(fields[column],MATCH(games[[#This Row],[field]],fields[field],0))</f>
        <v>4</v>
      </c>
      <c r="D230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30" s="87" t="str">
        <f ca="1">IF(LEN(games[[#This Row],[pair]])=3,MID(games[[#This Row],[pair]],2,1),"")</f>
        <v/>
      </c>
      <c r="F230" s="86">
        <f t="array" ref="F230">MATCH(1,(pages!$A$1:$A$957=games[[#This Row],[r]])*(pages!$B$1:$B$957=games[[#This Row],[field]]),0)</f>
        <v>254</v>
      </c>
      <c r="G230" s="86" t="b">
        <f>INDEX(pages!$L$1:$L$957,games[[#This Row],[ind]])</f>
        <v>0</v>
      </c>
      <c r="H230" s="86" t="str">
        <f ca="1">_xlfn.IFNA(IF(LEN(games[[#This Row],[pair]])=3,INDEX(teams[id],MATCH(LEFT(games[[#This Row],[pair]]),teams[char],0)),""),"")</f>
        <v/>
      </c>
      <c r="I230" s="86" t="str">
        <f ca="1">_xlfn.IFNA(IF(LEN(games[[#This Row],[pair]])=3,INDEX(teams[id],MATCH(RIGHT(games[[#This Row],[pair]]),teams[char],0)),""),"")</f>
        <v/>
      </c>
      <c r="J230" s="86" t="str">
        <f>IF(games[[#This Row],[played]],INDEX(pages!$I$1:$I$759,games[[#This Row],[ind]]),"")</f>
        <v/>
      </c>
      <c r="K230" s="86" t="str">
        <f>IF(games[[#This Row],[played]],INDEX(pages!$J$1:$J$759,games[[#This Row],[ind]]),"")</f>
        <v/>
      </c>
      <c r="L230" s="87" t="str">
        <f ca="1">INDEX(fields[char],MATCH(games[[#This Row],[field]],fields[field],0))&amp;IF(games[[#This Row],[tag]]="-","","("&amp;games[[#This Row],[tag]]&amp;")")</f>
        <v>v()</v>
      </c>
    </row>
    <row r="231" spans="1:12" x14ac:dyDescent="0.35">
      <c r="A231" s="1">
        <f t="shared" si="4"/>
        <v>46</v>
      </c>
      <c r="B231" s="1" t="s">
        <v>54</v>
      </c>
      <c r="C231" s="86">
        <f>INDEX(fields[column],MATCH(games[[#This Row],[field]],fields[field],0))</f>
        <v>5</v>
      </c>
      <c r="D231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31" s="87" t="str">
        <f ca="1">IF(LEN(games[[#This Row],[pair]])=3,MID(games[[#This Row],[pair]],2,1),"")</f>
        <v/>
      </c>
      <c r="F231" s="86">
        <f t="array" ref="F231">MATCH(1,(pages!$A$1:$A$957=games[[#This Row],[r]])*(pages!$B$1:$B$957=games[[#This Row],[field]]),0)</f>
        <v>255</v>
      </c>
      <c r="G231" s="86" t="b">
        <f>INDEX(pages!$L$1:$L$957,games[[#This Row],[ind]])</f>
        <v>0</v>
      </c>
      <c r="H231" s="86" t="str">
        <f ca="1">_xlfn.IFNA(IF(LEN(games[[#This Row],[pair]])=3,INDEX(teams[id],MATCH(LEFT(games[[#This Row],[pair]]),teams[char],0)),""),"")</f>
        <v/>
      </c>
      <c r="I231" s="86" t="str">
        <f ca="1">_xlfn.IFNA(IF(LEN(games[[#This Row],[pair]])=3,INDEX(teams[id],MATCH(RIGHT(games[[#This Row],[pair]]),teams[char],0)),""),"")</f>
        <v/>
      </c>
      <c r="J231" s="86" t="str">
        <f>IF(games[[#This Row],[played]],INDEX(pages!$I$1:$I$759,games[[#This Row],[ind]]),"")</f>
        <v/>
      </c>
      <c r="K231" s="86" t="str">
        <f>IF(games[[#This Row],[played]],INDEX(pages!$J$1:$J$759,games[[#This Row],[ind]]),"")</f>
        <v/>
      </c>
      <c r="L231" s="87" t="str">
        <f ca="1">INDEX(fields[char],MATCH(games[[#This Row],[field]],fields[field],0))&amp;IF(games[[#This Row],[tag]]="-","","("&amp;games[[#This Row],[tag]]&amp;")")</f>
        <v>m()</v>
      </c>
    </row>
    <row r="232" spans="1:12" x14ac:dyDescent="0.35">
      <c r="A232" s="1">
        <f t="shared" si="4"/>
        <v>47</v>
      </c>
      <c r="B232" s="1" t="s">
        <v>3</v>
      </c>
      <c r="C232" s="86">
        <f>INDEX(fields[column],MATCH(games[[#This Row],[field]],fields[field],0))</f>
        <v>1</v>
      </c>
      <c r="D232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32" s="87" t="str">
        <f ca="1">IF(LEN(games[[#This Row],[pair]])=3,MID(games[[#This Row],[pair]],2,1),"")</f>
        <v/>
      </c>
      <c r="F232" s="86">
        <f t="array" ref="F232">MATCH(1,(pages!$A$1:$A$957=games[[#This Row],[r]])*(pages!$B$1:$B$957=games[[#This Row],[field]]),0)</f>
        <v>256</v>
      </c>
      <c r="G232" s="86" t="b">
        <f>INDEX(pages!$L$1:$L$957,games[[#This Row],[ind]])</f>
        <v>0</v>
      </c>
      <c r="H232" s="86" t="str">
        <f ca="1">_xlfn.IFNA(IF(LEN(games[[#This Row],[pair]])=3,INDEX(teams[id],MATCH(LEFT(games[[#This Row],[pair]]),teams[char],0)),""),"")</f>
        <v/>
      </c>
      <c r="I232" s="86" t="str">
        <f ca="1">_xlfn.IFNA(IF(LEN(games[[#This Row],[pair]])=3,INDEX(teams[id],MATCH(RIGHT(games[[#This Row],[pair]]),teams[char],0)),""),"")</f>
        <v/>
      </c>
      <c r="J232" s="86" t="str">
        <f>IF(games[[#This Row],[played]],INDEX(pages!$I$1:$I$759,games[[#This Row],[ind]]),"")</f>
        <v/>
      </c>
      <c r="K232" s="86" t="str">
        <f>IF(games[[#This Row],[played]],INDEX(pages!$J$1:$J$759,games[[#This Row],[ind]]),"")</f>
        <v/>
      </c>
      <c r="L232" s="87" t="str">
        <f ca="1">INDEX(fields[char],MATCH(games[[#This Row],[field]],fields[field],0))&amp;IF(games[[#This Row],[tag]]="-","","("&amp;games[[#This Row],[tag]]&amp;")")</f>
        <v>p()</v>
      </c>
    </row>
    <row r="233" spans="1:12" x14ac:dyDescent="0.35">
      <c r="A233" s="1">
        <f t="shared" si="4"/>
        <v>47</v>
      </c>
      <c r="B233" s="1" t="s">
        <v>4</v>
      </c>
      <c r="C233" s="86">
        <f>INDEX(fields[column],MATCH(games[[#This Row],[field]],fields[field],0))</f>
        <v>2</v>
      </c>
      <c r="D233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33" s="87" t="str">
        <f ca="1">IF(LEN(games[[#This Row],[pair]])=3,MID(games[[#This Row],[pair]],2,1),"")</f>
        <v/>
      </c>
      <c r="F233" s="86">
        <f t="array" ref="F233">MATCH(1,(pages!$A$1:$A$957=games[[#This Row],[r]])*(pages!$B$1:$B$957=games[[#This Row],[field]]),0)</f>
        <v>257</v>
      </c>
      <c r="G233" s="86" t="b">
        <f>INDEX(pages!$L$1:$L$957,games[[#This Row],[ind]])</f>
        <v>0</v>
      </c>
      <c r="H233" s="86" t="str">
        <f ca="1">_xlfn.IFNA(IF(LEN(games[[#This Row],[pair]])=3,INDEX(teams[id],MATCH(LEFT(games[[#This Row],[pair]]),teams[char],0)),""),"")</f>
        <v/>
      </c>
      <c r="I233" s="86" t="str">
        <f ca="1">_xlfn.IFNA(IF(LEN(games[[#This Row],[pair]])=3,INDEX(teams[id],MATCH(RIGHT(games[[#This Row],[pair]]),teams[char],0)),""),"")</f>
        <v/>
      </c>
      <c r="J233" s="86" t="str">
        <f>IF(games[[#This Row],[played]],INDEX(pages!$I$1:$I$759,games[[#This Row],[ind]]),"")</f>
        <v/>
      </c>
      <c r="K233" s="86" t="str">
        <f>IF(games[[#This Row],[played]],INDEX(pages!$J$1:$J$759,games[[#This Row],[ind]]),"")</f>
        <v/>
      </c>
      <c r="L233" s="87" t="str">
        <f ca="1">INDEX(fields[char],MATCH(games[[#This Row],[field]],fields[field],0))&amp;IF(games[[#This Row],[tag]]="-","","("&amp;games[[#This Row],[tag]]&amp;")")</f>
        <v>p()</v>
      </c>
    </row>
    <row r="234" spans="1:12" x14ac:dyDescent="0.35">
      <c r="A234" s="1">
        <f t="shared" si="4"/>
        <v>47</v>
      </c>
      <c r="B234" s="1" t="s">
        <v>5</v>
      </c>
      <c r="C234" s="86">
        <f>INDEX(fields[column],MATCH(games[[#This Row],[field]],fields[field],0))</f>
        <v>3</v>
      </c>
      <c r="D234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34" s="87" t="str">
        <f ca="1">IF(LEN(games[[#This Row],[pair]])=3,MID(games[[#This Row],[pair]],2,1),"")</f>
        <v/>
      </c>
      <c r="F234" s="86">
        <f t="array" ref="F234">MATCH(1,(pages!$A$1:$A$957=games[[#This Row],[r]])*(pages!$B$1:$B$957=games[[#This Row],[field]]),0)</f>
        <v>258</v>
      </c>
      <c r="G234" s="86" t="b">
        <f>INDEX(pages!$L$1:$L$957,games[[#This Row],[ind]])</f>
        <v>0</v>
      </c>
      <c r="H234" s="86" t="str">
        <f ca="1">_xlfn.IFNA(IF(LEN(games[[#This Row],[pair]])=3,INDEX(teams[id],MATCH(LEFT(games[[#This Row],[pair]]),teams[char],0)),""),"")</f>
        <v/>
      </c>
      <c r="I234" s="86" t="str">
        <f ca="1">_xlfn.IFNA(IF(LEN(games[[#This Row],[pair]])=3,INDEX(teams[id],MATCH(RIGHT(games[[#This Row],[pair]]),teams[char],0)),""),"")</f>
        <v/>
      </c>
      <c r="J234" s="86" t="str">
        <f>IF(games[[#This Row],[played]],INDEX(pages!$I$1:$I$759,games[[#This Row],[ind]]),"")</f>
        <v/>
      </c>
      <c r="K234" s="86" t="str">
        <f>IF(games[[#This Row],[played]],INDEX(pages!$J$1:$J$759,games[[#This Row],[ind]]),"")</f>
        <v/>
      </c>
      <c r="L234" s="87" t="str">
        <f ca="1">INDEX(fields[char],MATCH(games[[#This Row],[field]],fields[field],0))&amp;IF(games[[#This Row],[tag]]="-","","("&amp;games[[#This Row],[tag]]&amp;")")</f>
        <v>k()</v>
      </c>
    </row>
    <row r="235" spans="1:12" x14ac:dyDescent="0.35">
      <c r="A235" s="1">
        <f t="shared" si="4"/>
        <v>47</v>
      </c>
      <c r="B235" s="1" t="s">
        <v>53</v>
      </c>
      <c r="C235" s="86">
        <f>INDEX(fields[column],MATCH(games[[#This Row],[field]],fields[field],0))</f>
        <v>4</v>
      </c>
      <c r="D235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35" s="87" t="str">
        <f ca="1">IF(LEN(games[[#This Row],[pair]])=3,MID(games[[#This Row],[pair]],2,1),"")</f>
        <v/>
      </c>
      <c r="F235" s="86">
        <f t="array" ref="F235">MATCH(1,(pages!$A$1:$A$957=games[[#This Row],[r]])*(pages!$B$1:$B$957=games[[#This Row],[field]]),0)</f>
        <v>259</v>
      </c>
      <c r="G235" s="86" t="b">
        <f>INDEX(pages!$L$1:$L$957,games[[#This Row],[ind]])</f>
        <v>0</v>
      </c>
      <c r="H235" s="86" t="str">
        <f ca="1">_xlfn.IFNA(IF(LEN(games[[#This Row],[pair]])=3,INDEX(teams[id],MATCH(LEFT(games[[#This Row],[pair]]),teams[char],0)),""),"")</f>
        <v/>
      </c>
      <c r="I235" s="86" t="str">
        <f ca="1">_xlfn.IFNA(IF(LEN(games[[#This Row],[pair]])=3,INDEX(teams[id],MATCH(RIGHT(games[[#This Row],[pair]]),teams[char],0)),""),"")</f>
        <v/>
      </c>
      <c r="J235" s="86" t="str">
        <f>IF(games[[#This Row],[played]],INDEX(pages!$I$1:$I$759,games[[#This Row],[ind]]),"")</f>
        <v/>
      </c>
      <c r="K235" s="86" t="str">
        <f>IF(games[[#This Row],[played]],INDEX(pages!$J$1:$J$759,games[[#This Row],[ind]]),"")</f>
        <v/>
      </c>
      <c r="L235" s="87" t="str">
        <f ca="1">INDEX(fields[char],MATCH(games[[#This Row],[field]],fields[field],0))&amp;IF(games[[#This Row],[tag]]="-","","("&amp;games[[#This Row],[tag]]&amp;")")</f>
        <v>v()</v>
      </c>
    </row>
    <row r="236" spans="1:12" x14ac:dyDescent="0.35">
      <c r="A236" s="1">
        <f t="shared" si="4"/>
        <v>47</v>
      </c>
      <c r="B236" s="1" t="s">
        <v>54</v>
      </c>
      <c r="C236" s="86">
        <f>INDEX(fields[column],MATCH(games[[#This Row],[field]],fields[field],0))</f>
        <v>5</v>
      </c>
      <c r="D236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36" s="87" t="str">
        <f ca="1">IF(LEN(games[[#This Row],[pair]])=3,MID(games[[#This Row],[pair]],2,1),"")</f>
        <v/>
      </c>
      <c r="F236" s="86">
        <f t="array" ref="F236">MATCH(1,(pages!$A$1:$A$957=games[[#This Row],[r]])*(pages!$B$1:$B$957=games[[#This Row],[field]]),0)</f>
        <v>260</v>
      </c>
      <c r="G236" s="86" t="b">
        <f>INDEX(pages!$L$1:$L$957,games[[#This Row],[ind]])</f>
        <v>0</v>
      </c>
      <c r="H236" s="86" t="str">
        <f ca="1">_xlfn.IFNA(IF(LEN(games[[#This Row],[pair]])=3,INDEX(teams[id],MATCH(LEFT(games[[#This Row],[pair]]),teams[char],0)),""),"")</f>
        <v/>
      </c>
      <c r="I236" s="86" t="str">
        <f ca="1">_xlfn.IFNA(IF(LEN(games[[#This Row],[pair]])=3,INDEX(teams[id],MATCH(RIGHT(games[[#This Row],[pair]]),teams[char],0)),""),"")</f>
        <v/>
      </c>
      <c r="J236" s="86" t="str">
        <f>IF(games[[#This Row],[played]],INDEX(pages!$I$1:$I$759,games[[#This Row],[ind]]),"")</f>
        <v/>
      </c>
      <c r="K236" s="86" t="str">
        <f>IF(games[[#This Row],[played]],INDEX(pages!$J$1:$J$759,games[[#This Row],[ind]]),"")</f>
        <v/>
      </c>
      <c r="L236" s="87" t="str">
        <f ca="1">INDEX(fields[char],MATCH(games[[#This Row],[field]],fields[field],0))&amp;IF(games[[#This Row],[tag]]="-","","("&amp;games[[#This Row],[tag]]&amp;")")</f>
        <v>m()</v>
      </c>
    </row>
    <row r="237" spans="1:12" x14ac:dyDescent="0.35">
      <c r="A237" s="1">
        <f t="shared" si="4"/>
        <v>48</v>
      </c>
      <c r="B237" s="1" t="s">
        <v>3</v>
      </c>
      <c r="C237" s="86">
        <f>INDEX(fields[column],MATCH(games[[#This Row],[field]],fields[field],0))</f>
        <v>1</v>
      </c>
      <c r="D237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37" s="87" t="str">
        <f ca="1">IF(LEN(games[[#This Row],[pair]])=3,MID(games[[#This Row],[pair]],2,1),"")</f>
        <v/>
      </c>
      <c r="F237" s="86">
        <f t="array" ref="F237">MATCH(1,(pages!$A$1:$A$957=games[[#This Row],[r]])*(pages!$B$1:$B$957=games[[#This Row],[field]]),0)</f>
        <v>261</v>
      </c>
      <c r="G237" s="86" t="b">
        <f>INDEX(pages!$L$1:$L$957,games[[#This Row],[ind]])</f>
        <v>0</v>
      </c>
      <c r="H237" s="86" t="str">
        <f ca="1">_xlfn.IFNA(IF(LEN(games[[#This Row],[pair]])=3,INDEX(teams[id],MATCH(LEFT(games[[#This Row],[pair]]),teams[char],0)),""),"")</f>
        <v/>
      </c>
      <c r="I237" s="86" t="str">
        <f ca="1">_xlfn.IFNA(IF(LEN(games[[#This Row],[pair]])=3,INDEX(teams[id],MATCH(RIGHT(games[[#This Row],[pair]]),teams[char],0)),""),"")</f>
        <v/>
      </c>
      <c r="J237" s="86" t="str">
        <f>IF(games[[#This Row],[played]],INDEX(pages!$I$1:$I$759,games[[#This Row],[ind]]),"")</f>
        <v/>
      </c>
      <c r="K237" s="86" t="str">
        <f>IF(games[[#This Row],[played]],INDEX(pages!$J$1:$J$759,games[[#This Row],[ind]]),"")</f>
        <v/>
      </c>
      <c r="L237" s="87" t="str">
        <f ca="1">INDEX(fields[char],MATCH(games[[#This Row],[field]],fields[field],0))&amp;IF(games[[#This Row],[tag]]="-","","("&amp;games[[#This Row],[tag]]&amp;")")</f>
        <v>p()</v>
      </c>
    </row>
    <row r="238" spans="1:12" x14ac:dyDescent="0.35">
      <c r="A238" s="1">
        <f t="shared" si="4"/>
        <v>48</v>
      </c>
      <c r="B238" s="1" t="s">
        <v>4</v>
      </c>
      <c r="C238" s="86">
        <f>INDEX(fields[column],MATCH(games[[#This Row],[field]],fields[field],0))</f>
        <v>2</v>
      </c>
      <c r="D238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38" s="87" t="str">
        <f ca="1">IF(LEN(games[[#This Row],[pair]])=3,MID(games[[#This Row],[pair]],2,1),"")</f>
        <v/>
      </c>
      <c r="F238" s="86">
        <f t="array" ref="F238">MATCH(1,(pages!$A$1:$A$957=games[[#This Row],[r]])*(pages!$B$1:$B$957=games[[#This Row],[field]]),0)</f>
        <v>262</v>
      </c>
      <c r="G238" s="86" t="b">
        <f>INDEX(pages!$L$1:$L$957,games[[#This Row],[ind]])</f>
        <v>0</v>
      </c>
      <c r="H238" s="86" t="str">
        <f ca="1">_xlfn.IFNA(IF(LEN(games[[#This Row],[pair]])=3,INDEX(teams[id],MATCH(LEFT(games[[#This Row],[pair]]),teams[char],0)),""),"")</f>
        <v/>
      </c>
      <c r="I238" s="86" t="str">
        <f ca="1">_xlfn.IFNA(IF(LEN(games[[#This Row],[pair]])=3,INDEX(teams[id],MATCH(RIGHT(games[[#This Row],[pair]]),teams[char],0)),""),"")</f>
        <v/>
      </c>
      <c r="J238" s="86" t="str">
        <f>IF(games[[#This Row],[played]],INDEX(pages!$I$1:$I$759,games[[#This Row],[ind]]),"")</f>
        <v/>
      </c>
      <c r="K238" s="86" t="str">
        <f>IF(games[[#This Row],[played]],INDEX(pages!$J$1:$J$759,games[[#This Row],[ind]]),"")</f>
        <v/>
      </c>
      <c r="L238" s="87" t="str">
        <f ca="1">INDEX(fields[char],MATCH(games[[#This Row],[field]],fields[field],0))&amp;IF(games[[#This Row],[tag]]="-","","("&amp;games[[#This Row],[tag]]&amp;")")</f>
        <v>p()</v>
      </c>
    </row>
    <row r="239" spans="1:12" x14ac:dyDescent="0.35">
      <c r="A239" s="1">
        <f t="shared" si="4"/>
        <v>48</v>
      </c>
      <c r="B239" s="1" t="s">
        <v>5</v>
      </c>
      <c r="C239" s="86">
        <f>INDEX(fields[column],MATCH(games[[#This Row],[field]],fields[field],0))</f>
        <v>3</v>
      </c>
      <c r="D239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39" s="87" t="str">
        <f ca="1">IF(LEN(games[[#This Row],[pair]])=3,MID(games[[#This Row],[pair]],2,1),"")</f>
        <v/>
      </c>
      <c r="F239" s="86">
        <f t="array" ref="F239">MATCH(1,(pages!$A$1:$A$957=games[[#This Row],[r]])*(pages!$B$1:$B$957=games[[#This Row],[field]]),0)</f>
        <v>263</v>
      </c>
      <c r="G239" s="86" t="b">
        <f>INDEX(pages!$L$1:$L$957,games[[#This Row],[ind]])</f>
        <v>0</v>
      </c>
      <c r="H239" s="86" t="str">
        <f ca="1">_xlfn.IFNA(IF(LEN(games[[#This Row],[pair]])=3,INDEX(teams[id],MATCH(LEFT(games[[#This Row],[pair]]),teams[char],0)),""),"")</f>
        <v/>
      </c>
      <c r="I239" s="86" t="str">
        <f ca="1">_xlfn.IFNA(IF(LEN(games[[#This Row],[pair]])=3,INDEX(teams[id],MATCH(RIGHT(games[[#This Row],[pair]]),teams[char],0)),""),"")</f>
        <v/>
      </c>
      <c r="J239" s="86" t="str">
        <f>IF(games[[#This Row],[played]],INDEX(pages!$I$1:$I$759,games[[#This Row],[ind]]),"")</f>
        <v/>
      </c>
      <c r="K239" s="86" t="str">
        <f>IF(games[[#This Row],[played]],INDEX(pages!$J$1:$J$759,games[[#This Row],[ind]]),"")</f>
        <v/>
      </c>
      <c r="L239" s="87" t="str">
        <f ca="1">INDEX(fields[char],MATCH(games[[#This Row],[field]],fields[field],0))&amp;IF(games[[#This Row],[tag]]="-","","("&amp;games[[#This Row],[tag]]&amp;")")</f>
        <v>k()</v>
      </c>
    </row>
    <row r="240" spans="1:12" x14ac:dyDescent="0.35">
      <c r="A240" s="1">
        <f t="shared" si="4"/>
        <v>48</v>
      </c>
      <c r="B240" s="1" t="s">
        <v>53</v>
      </c>
      <c r="C240" s="86">
        <f>INDEX(fields[column],MATCH(games[[#This Row],[field]],fields[field],0))</f>
        <v>4</v>
      </c>
      <c r="D240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40" s="87" t="str">
        <f ca="1">IF(LEN(games[[#This Row],[pair]])=3,MID(games[[#This Row],[pair]],2,1),"")</f>
        <v/>
      </c>
      <c r="F240" s="86">
        <f t="array" ref="F240">MATCH(1,(pages!$A$1:$A$957=games[[#This Row],[r]])*(pages!$B$1:$B$957=games[[#This Row],[field]]),0)</f>
        <v>264</v>
      </c>
      <c r="G240" s="86" t="b">
        <f>INDEX(pages!$L$1:$L$957,games[[#This Row],[ind]])</f>
        <v>0</v>
      </c>
      <c r="H240" s="86" t="str">
        <f ca="1">_xlfn.IFNA(IF(LEN(games[[#This Row],[pair]])=3,INDEX(teams[id],MATCH(LEFT(games[[#This Row],[pair]]),teams[char],0)),""),"")</f>
        <v/>
      </c>
      <c r="I240" s="86" t="str">
        <f ca="1">_xlfn.IFNA(IF(LEN(games[[#This Row],[pair]])=3,INDEX(teams[id],MATCH(RIGHT(games[[#This Row],[pair]]),teams[char],0)),""),"")</f>
        <v/>
      </c>
      <c r="J240" s="86" t="str">
        <f>IF(games[[#This Row],[played]],INDEX(pages!$I$1:$I$759,games[[#This Row],[ind]]),"")</f>
        <v/>
      </c>
      <c r="K240" s="86" t="str">
        <f>IF(games[[#This Row],[played]],INDEX(pages!$J$1:$J$759,games[[#This Row],[ind]]),"")</f>
        <v/>
      </c>
      <c r="L240" s="87" t="str">
        <f ca="1">INDEX(fields[char],MATCH(games[[#This Row],[field]],fields[field],0))&amp;IF(games[[#This Row],[tag]]="-","","("&amp;games[[#This Row],[tag]]&amp;")")</f>
        <v>v()</v>
      </c>
    </row>
    <row r="241" spans="1:12" x14ac:dyDescent="0.35">
      <c r="A241" s="1">
        <f t="shared" si="4"/>
        <v>48</v>
      </c>
      <c r="B241" s="1" t="s">
        <v>54</v>
      </c>
      <c r="C241" s="86">
        <f>INDEX(fields[column],MATCH(games[[#This Row],[field]],fields[field],0))</f>
        <v>5</v>
      </c>
      <c r="D241" s="87">
        <f ca="1">_xlfn.IFNA(OFFSET(plan!$A$1,MATCH(games[[#This Row],[r]],plan!A:A,0)-1,games[[#This Row],[col]]+1+0),_xlfn.IFNA(OFFSET(plan!$A$1,MATCH(games[[#This Row],[r]],plan!H:H,0)-1,games[[#This Row],[col]]+1+7),_xlfn.IFNA(OFFSET(plan!$A$1,MATCH(games[[#This Row],[r]],plan!O:O,0)-1,games[[#This Row],[col]]+1+14),_xlfn.IFNA(OFFSET(plan!$A$1,MATCH(games[[#This Row],[r]],plan!V:V,0)-1,games[[#This Row],[col]]+1+21),""))))</f>
        <v>0</v>
      </c>
      <c r="E241" s="87" t="str">
        <f ca="1">IF(LEN(games[[#This Row],[pair]])=3,MID(games[[#This Row],[pair]],2,1),"")</f>
        <v/>
      </c>
      <c r="F241" s="86">
        <f t="array" ref="F241">MATCH(1,(pages!$A$1:$A$957=games[[#This Row],[r]])*(pages!$B$1:$B$957=games[[#This Row],[field]]),0)</f>
        <v>265</v>
      </c>
      <c r="G241" s="86" t="b">
        <f>INDEX(pages!$L$1:$L$957,games[[#This Row],[ind]])</f>
        <v>0</v>
      </c>
      <c r="H241" s="86" t="str">
        <f ca="1">_xlfn.IFNA(IF(LEN(games[[#This Row],[pair]])=3,INDEX(teams[id],MATCH(LEFT(games[[#This Row],[pair]]),teams[char],0)),""),"")</f>
        <v/>
      </c>
      <c r="I241" s="86" t="str">
        <f ca="1">_xlfn.IFNA(IF(LEN(games[[#This Row],[pair]])=3,INDEX(teams[id],MATCH(RIGHT(games[[#This Row],[pair]]),teams[char],0)),""),"")</f>
        <v/>
      </c>
      <c r="J241" s="86" t="str">
        <f>IF(games[[#This Row],[played]],INDEX(pages!$I$1:$I$759,games[[#This Row],[ind]]),"")</f>
        <v/>
      </c>
      <c r="K241" s="86" t="str">
        <f>IF(games[[#This Row],[played]],INDEX(pages!$J$1:$J$759,games[[#This Row],[ind]]),"")</f>
        <v/>
      </c>
      <c r="L241" s="87" t="str">
        <f ca="1">INDEX(fields[char],MATCH(games[[#This Row],[field]],fields[field],0))&amp;IF(games[[#This Row],[tag]]="-","","("&amp;games[[#This Row],[tag]]&amp;")")</f>
        <v>m()</v>
      </c>
    </row>
  </sheetData>
  <conditionalFormatting sqref="B2:C241">
    <cfRule type="cellIs" dxfId="6" priority="41" operator="equal">
      <formula>"base"</formula>
    </cfRule>
  </conditionalFormatting>
  <conditionalFormatting sqref="B2:E16 B7:B241 D17:E160 B17:C201">
    <cfRule type="cellIs" dxfId="5" priority="42" operator="equal">
      <formula>"voll"</formula>
    </cfRule>
    <cfRule type="cellIs" dxfId="4" priority="43" operator="equal">
      <formula>"bask"</formula>
    </cfRule>
    <cfRule type="cellIs" dxfId="3" priority="44" operator="equal">
      <formula>"fnew"</formula>
    </cfRule>
    <cfRule type="cellIs" dxfId="2" priority="45" operator="equal">
      <formula>"fold"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L265"/>
  <sheetViews>
    <sheetView topLeftCell="A100" zoomScaleNormal="100" zoomScaleSheetLayoutView="100" workbookViewId="0">
      <selection activeCell="I106" sqref="I106:J106"/>
    </sheetView>
  </sheetViews>
  <sheetFormatPr defaultColWidth="9" defaultRowHeight="18" customHeight="1" x14ac:dyDescent="0.3"/>
  <cols>
    <col min="1" max="2" width="9" style="41"/>
    <col min="3" max="3" width="4.33203125" style="41" customWidth="1"/>
    <col min="4" max="4" width="17" style="41" bestFit="1" customWidth="1"/>
    <col min="5" max="5" width="4.33203125" style="41" customWidth="1"/>
    <col min="6" max="6" width="16.33203125" style="41" bestFit="1" customWidth="1"/>
    <col min="7" max="7" width="4.33203125" style="41" customWidth="1"/>
    <col min="8" max="8" width="16.33203125" style="41" bestFit="1" customWidth="1"/>
    <col min="9" max="10" width="6.21875" style="41" customWidth="1"/>
    <col min="11" max="11" width="21.88671875" style="41" customWidth="1"/>
    <col min="12" max="12" width="9" style="42"/>
    <col min="13" max="16384" width="9" style="41"/>
  </cols>
  <sheetData>
    <row r="1" spans="1:12" ht="18" customHeight="1" x14ac:dyDescent="0.3">
      <c r="A1" s="41" t="s">
        <v>26</v>
      </c>
      <c r="B1" s="41" t="s">
        <v>2</v>
      </c>
      <c r="E1" s="41" t="s">
        <v>27</v>
      </c>
      <c r="G1" s="41" t="s">
        <v>28</v>
      </c>
      <c r="I1" s="41" t="s">
        <v>29</v>
      </c>
      <c r="J1" s="41" t="s">
        <v>30</v>
      </c>
      <c r="K1" s="41" t="s">
        <v>32</v>
      </c>
      <c r="L1" s="42" t="s">
        <v>34</v>
      </c>
    </row>
    <row r="2" spans="1:12" ht="18" customHeight="1" thickBot="1" x14ac:dyDescent="0.35"/>
    <row r="3" spans="1:12" ht="18" customHeight="1" thickBot="1" x14ac:dyDescent="0.35">
      <c r="C3" s="189">
        <f>plan!B2</f>
        <v>46244</v>
      </c>
      <c r="D3" s="190"/>
      <c r="E3" s="190"/>
      <c r="F3" s="190"/>
      <c r="G3" s="190"/>
      <c r="H3" s="190"/>
      <c r="I3" s="190"/>
      <c r="J3" s="190"/>
      <c r="K3" s="191"/>
    </row>
    <row r="4" spans="1:12" ht="18" customHeight="1" thickTop="1" x14ac:dyDescent="0.3">
      <c r="A4" s="41">
        <v>1</v>
      </c>
      <c r="B4" s="41" t="s">
        <v>3</v>
      </c>
      <c r="C4" s="192" t="s">
        <v>48</v>
      </c>
      <c r="D4" s="61" t="str">
        <f>INDEX(fields[name],MATCH($B4,fields[field],0))</f>
        <v>Π Ποδόσφαιρο</v>
      </c>
      <c r="E4" s="52" t="str">
        <f t="array" aca="1" ref="E4" ca="1">IF(ISBLANK($A4),"",INDEX(games[th],MATCH(1,(games[r]=$A4)*(games[field]=$B4),0)))</f>
        <v/>
      </c>
      <c r="F4" s="58" t="str">
        <f ca="1">_xlfn.IFNA(INDEX(teams[name],MATCH(E4,teams[id],0)),"")</f>
        <v/>
      </c>
      <c r="G4" s="55" t="str">
        <f t="array" aca="1" ref="G4" ca="1">IF(ISBLANK($A4),"",INDEX(games[ta],MATCH(1,(games[r]=$A4)*(games[field]=$B4),0)))</f>
        <v/>
      </c>
      <c r="H4" s="58" t="str">
        <f ca="1">_xlfn.IFNA(INDEX(teams[name],MATCH(G4,teams[id],0)),"")</f>
        <v/>
      </c>
      <c r="I4" s="43"/>
      <c r="J4" s="44"/>
      <c r="K4" s="45"/>
      <c r="L4" s="42" t="b">
        <f>NOT(OR(ISBLANK($I4),ISBLANK($J4)))</f>
        <v>0</v>
      </c>
    </row>
    <row r="5" spans="1:12" ht="18" customHeight="1" x14ac:dyDescent="0.3">
      <c r="A5" s="41">
        <v>1</v>
      </c>
      <c r="B5" s="41" t="s">
        <v>4</v>
      </c>
      <c r="C5" s="193"/>
      <c r="D5" s="62" t="str">
        <f>INDEX(fields[name],MATCH($B5,fields[field],0))</f>
        <v>Κ Ποδόσφαιρο</v>
      </c>
      <c r="E5" s="53" t="str">
        <f t="array" aca="1" ref="E5" ca="1">IF(ISBLANK($A5),"",INDEX(games[th],MATCH(1,(games[r]=$A5)*(games[field]=$B5),0)))</f>
        <v/>
      </c>
      <c r="F5" s="59" t="str">
        <f ca="1">_xlfn.IFNA(INDEX(teams[name],MATCH(E5,teams[id],0)),"")</f>
        <v/>
      </c>
      <c r="G5" s="56" t="str">
        <f t="array" aca="1" ref="G5" ca="1">IF(ISBLANK($A5),"",INDEX(games[ta],MATCH(1,(games[r]=$A5)*(games[field]=$B5),0)))</f>
        <v/>
      </c>
      <c r="H5" s="59" t="str">
        <f ca="1">_xlfn.IFNA(INDEX(teams[name],MATCH(G5,teams[id],0)),"")</f>
        <v/>
      </c>
      <c r="I5" s="46"/>
      <c r="J5" s="47"/>
      <c r="K5" s="48"/>
      <c r="L5" s="42" t="b">
        <f t="shared" ref="L5:L23" si="0">NOT(OR(ISBLANK($I5),ISBLANK($J5)))</f>
        <v>0</v>
      </c>
    </row>
    <row r="6" spans="1:12" ht="18" customHeight="1" x14ac:dyDescent="0.3">
      <c r="A6" s="41">
        <v>1</v>
      </c>
      <c r="B6" s="41" t="s">
        <v>5</v>
      </c>
      <c r="C6" s="193"/>
      <c r="D6" s="62" t="str">
        <f>INDEX(fields[name],MATCH($B6,fields[field],0))</f>
        <v>Μπάσκετ</v>
      </c>
      <c r="E6" s="53" t="str">
        <f t="array" aca="1" ref="E6" ca="1">IF(ISBLANK($A6),"",INDEX(games[th],MATCH(1,(games[r]=$A6)*(games[field]=$B6),0)))</f>
        <v/>
      </c>
      <c r="F6" s="59" t="str">
        <f ca="1">_xlfn.IFNA(INDEX(teams[name],MATCH(E6,teams[id],0)),"")</f>
        <v/>
      </c>
      <c r="G6" s="56" t="str">
        <f t="array" aca="1" ref="G6" ca="1">IF(ISBLANK($A6),"",INDEX(games[ta],MATCH(1,(games[r]=$A6)*(games[field]=$B6),0)))</f>
        <v/>
      </c>
      <c r="H6" s="59" t="str">
        <f ca="1">_xlfn.IFNA(INDEX(teams[name],MATCH(G6,teams[id],0)),"")</f>
        <v/>
      </c>
      <c r="I6" s="46"/>
      <c r="J6" s="47"/>
      <c r="K6" s="48"/>
      <c r="L6" s="42" t="b">
        <f t="shared" si="0"/>
        <v>0</v>
      </c>
    </row>
    <row r="7" spans="1:12" ht="18" customHeight="1" x14ac:dyDescent="0.3">
      <c r="A7" s="41">
        <v>1</v>
      </c>
      <c r="B7" s="41" t="s">
        <v>53</v>
      </c>
      <c r="C7" s="193"/>
      <c r="D7" s="62" t="str">
        <f>INDEX(fields[name],MATCH($B7,fields[field],0))</f>
        <v>Βόλεϊ</v>
      </c>
      <c r="E7" s="53" t="str">
        <f t="array" aca="1" ref="E7" ca="1">IF(ISBLANK($A7),"",INDEX(games[th],MATCH(1,(games[r]=$A7)*(games[field]=$B7),0)))</f>
        <v/>
      </c>
      <c r="F7" s="59" t="str">
        <f ca="1">_xlfn.IFNA(INDEX(teams[name],MATCH(E7,teams[id],0)),"")</f>
        <v/>
      </c>
      <c r="G7" s="56" t="str">
        <f t="array" aca="1" ref="G7" ca="1">IF(ISBLANK($A7),"",INDEX(games[ta],MATCH(1,(games[r]=$A7)*(games[field]=$B7),0)))</f>
        <v/>
      </c>
      <c r="H7" s="59" t="str">
        <f ca="1">_xlfn.IFNA(INDEX(teams[name],MATCH(G7,teams[id],0)),"")</f>
        <v/>
      </c>
      <c r="I7" s="46"/>
      <c r="J7" s="47"/>
      <c r="K7" s="48"/>
      <c r="L7" s="42" t="b">
        <f t="shared" si="0"/>
        <v>0</v>
      </c>
    </row>
    <row r="8" spans="1:12" ht="18" customHeight="1" x14ac:dyDescent="0.3">
      <c r="A8" s="41">
        <v>1</v>
      </c>
      <c r="B8" s="41" t="s">
        <v>54</v>
      </c>
      <c r="C8" s="194"/>
      <c r="D8" s="79" t="str">
        <f>INDEX(fields[name],MATCH($B8,fields[field],0))</f>
        <v>Μπέιζμπολ</v>
      </c>
      <c r="E8" s="80" t="str">
        <f t="array" aca="1" ref="E8" ca="1">IF(ISBLANK($A8),"",INDEX(games[th],MATCH(1,(games[r]=$A8)*(games[field]=$B8),0)))</f>
        <v/>
      </c>
      <c r="F8" s="81" t="str">
        <f ca="1">_xlfn.IFNA(INDEX(teams[name],MATCH(E8,teams[id],0)),"")</f>
        <v/>
      </c>
      <c r="G8" s="82" t="str">
        <f t="array" aca="1" ref="G8" ca="1">IF(ISBLANK($A8),"",INDEX(games[ta],MATCH(1,(games[r]=$A8)*(games[field]=$B8),0)))</f>
        <v/>
      </c>
      <c r="H8" s="81" t="str">
        <f ca="1">_xlfn.IFNA(INDEX(teams[name],MATCH(G8,teams[id],0)),"")</f>
        <v/>
      </c>
      <c r="I8" s="83"/>
      <c r="J8" s="84"/>
      <c r="K8" s="85"/>
      <c r="L8" s="42" t="b">
        <f t="shared" si="0"/>
        <v>0</v>
      </c>
    </row>
    <row r="9" spans="1:12" ht="18" customHeight="1" x14ac:dyDescent="0.3">
      <c r="A9" s="41">
        <v>2</v>
      </c>
      <c r="B9" s="41" t="s">
        <v>3</v>
      </c>
      <c r="C9" s="195" t="s">
        <v>49</v>
      </c>
      <c r="D9" s="72" t="str">
        <f>INDEX(fields[name],MATCH($B9,fields[field],0))</f>
        <v>Π Ποδόσφαιρο</v>
      </c>
      <c r="E9" s="73" t="str">
        <f t="array" aca="1" ref="E9" ca="1">IF(ISBLANK($A9),"",INDEX(games[th],MATCH(1,(games[r]=$A9)*(games[field]=$B9),0)))</f>
        <v/>
      </c>
      <c r="F9" s="74" t="str">
        <f ca="1">_xlfn.IFNA(INDEX(teams[name],MATCH(E9,teams[id],0)),"")</f>
        <v/>
      </c>
      <c r="G9" s="75" t="str">
        <f t="array" aca="1" ref="G9" ca="1">IF(ISBLANK($A9),"",INDEX(games[ta],MATCH(1,(games[r]=$A9)*(games[field]=$B9),0)))</f>
        <v/>
      </c>
      <c r="H9" s="74" t="str">
        <f ca="1">_xlfn.IFNA(INDEX(teams[name],MATCH(G9,teams[id],0)),"")</f>
        <v/>
      </c>
      <c r="I9" s="76"/>
      <c r="J9" s="77"/>
      <c r="K9" s="78"/>
      <c r="L9" s="42" t="b">
        <f t="shared" si="0"/>
        <v>0</v>
      </c>
    </row>
    <row r="10" spans="1:12" ht="18" customHeight="1" x14ac:dyDescent="0.3">
      <c r="A10" s="41">
        <v>2</v>
      </c>
      <c r="B10" s="41" t="s">
        <v>4</v>
      </c>
      <c r="C10" s="193"/>
      <c r="D10" s="62" t="str">
        <f>INDEX(fields[name],MATCH($B10,fields[field],0))</f>
        <v>Κ Ποδόσφαιρο</v>
      </c>
      <c r="E10" s="53" t="str">
        <f t="array" aca="1" ref="E10" ca="1">IF(ISBLANK($A10),"",INDEX(games[th],MATCH(1,(games[r]=$A10)*(games[field]=$B10),0)))</f>
        <v/>
      </c>
      <c r="F10" s="59" t="str">
        <f ca="1">_xlfn.IFNA(INDEX(teams[name],MATCH(E10,teams[id],0)),"")</f>
        <v/>
      </c>
      <c r="G10" s="56" t="str">
        <f t="array" aca="1" ref="G10" ca="1">IF(ISBLANK($A10),"",INDEX(games[ta],MATCH(1,(games[r]=$A10)*(games[field]=$B10),0)))</f>
        <v/>
      </c>
      <c r="H10" s="59" t="str">
        <f ca="1">_xlfn.IFNA(INDEX(teams[name],MATCH(G10,teams[id],0)),"")</f>
        <v/>
      </c>
      <c r="I10" s="46"/>
      <c r="J10" s="47"/>
      <c r="K10" s="48"/>
      <c r="L10" s="42" t="b">
        <f t="shared" si="0"/>
        <v>0</v>
      </c>
    </row>
    <row r="11" spans="1:12" ht="18" customHeight="1" x14ac:dyDescent="0.3">
      <c r="A11" s="41">
        <v>2</v>
      </c>
      <c r="B11" s="41" t="s">
        <v>5</v>
      </c>
      <c r="C11" s="193"/>
      <c r="D11" s="62" t="str">
        <f>INDEX(fields[name],MATCH($B11,fields[field],0))</f>
        <v>Μπάσκετ</v>
      </c>
      <c r="E11" s="53" t="str">
        <f t="array" aca="1" ref="E11" ca="1">IF(ISBLANK($A11),"",INDEX(games[th],MATCH(1,(games[r]=$A11)*(games[field]=$B11),0)))</f>
        <v/>
      </c>
      <c r="F11" s="59" t="str">
        <f ca="1">_xlfn.IFNA(INDEX(teams[name],MATCH(E11,teams[id],0)),"")</f>
        <v/>
      </c>
      <c r="G11" s="56" t="str">
        <f t="array" aca="1" ref="G11" ca="1">IF(ISBLANK($A11),"",INDEX(games[ta],MATCH(1,(games[r]=$A11)*(games[field]=$B11),0)))</f>
        <v/>
      </c>
      <c r="H11" s="59" t="str">
        <f ca="1">_xlfn.IFNA(INDEX(teams[name],MATCH(G11,teams[id],0)),"")</f>
        <v/>
      </c>
      <c r="I11" s="46"/>
      <c r="J11" s="47"/>
      <c r="K11" s="48"/>
      <c r="L11" s="42" t="b">
        <f t="shared" si="0"/>
        <v>0</v>
      </c>
    </row>
    <row r="12" spans="1:12" ht="18" customHeight="1" x14ac:dyDescent="0.3">
      <c r="A12" s="41">
        <v>2</v>
      </c>
      <c r="B12" s="41" t="s">
        <v>53</v>
      </c>
      <c r="C12" s="196"/>
      <c r="D12" s="65" t="str">
        <f>INDEX(fields[name],MATCH($B12,fields[field],0))</f>
        <v>Βόλεϊ</v>
      </c>
      <c r="E12" s="66" t="str">
        <f t="array" aca="1" ref="E12" ca="1">IF(ISBLANK($A12),"",INDEX(games[th],MATCH(1,(games[r]=$A12)*(games[field]=$B12),0)))</f>
        <v/>
      </c>
      <c r="F12" s="67" t="str">
        <f ca="1">_xlfn.IFNA(INDEX(teams[name],MATCH(E12,teams[id],0)),"")</f>
        <v/>
      </c>
      <c r="G12" s="68" t="str">
        <f t="array" aca="1" ref="G12" ca="1">IF(ISBLANK($A12),"",INDEX(games[ta],MATCH(1,(games[r]=$A12)*(games[field]=$B12),0)))</f>
        <v/>
      </c>
      <c r="H12" s="67" t="str">
        <f ca="1">_xlfn.IFNA(INDEX(teams[name],MATCH(G12,teams[id],0)),"")</f>
        <v/>
      </c>
      <c r="I12" s="69"/>
      <c r="J12" s="70"/>
      <c r="K12" s="71"/>
      <c r="L12" s="42" t="b">
        <f t="shared" si="0"/>
        <v>0</v>
      </c>
    </row>
    <row r="13" spans="1:12" ht="18" customHeight="1" thickBot="1" x14ac:dyDescent="0.35">
      <c r="A13" s="41">
        <v>2</v>
      </c>
      <c r="B13" s="41" t="s">
        <v>54</v>
      </c>
      <c r="C13" s="197"/>
      <c r="D13" s="63" t="str">
        <f>INDEX(fields[name],MATCH($B13,fields[field],0))</f>
        <v>Μπέιζμπολ</v>
      </c>
      <c r="E13" s="54" t="str">
        <f t="array" aca="1" ref="E13" ca="1">IF(ISBLANK($A13),"",INDEX(games[th],MATCH(1,(games[r]=$A13)*(games[field]=$B13),0)))</f>
        <v/>
      </c>
      <c r="F13" s="60" t="str">
        <f ca="1">_xlfn.IFNA(INDEX(teams[name],MATCH(E13,teams[id],0)),"")</f>
        <v/>
      </c>
      <c r="G13" s="57" t="str">
        <f t="array" aca="1" ref="G13" ca="1">IF(ISBLANK($A13),"",INDEX(games[ta],MATCH(1,(games[r]=$A13)*(games[field]=$B13),0)))</f>
        <v/>
      </c>
      <c r="H13" s="60" t="str">
        <f ca="1">_xlfn.IFNA(INDEX(teams[name],MATCH(G13,teams[id],0)),"")</f>
        <v/>
      </c>
      <c r="I13" s="49"/>
      <c r="J13" s="50"/>
      <c r="K13" s="51"/>
      <c r="L13" s="42" t="b">
        <f t="shared" si="0"/>
        <v>0</v>
      </c>
    </row>
    <row r="14" spans="1:12" ht="18" customHeight="1" thickTop="1" x14ac:dyDescent="0.3">
      <c r="A14" s="41">
        <v>3</v>
      </c>
      <c r="B14" s="41" t="s">
        <v>3</v>
      </c>
      <c r="C14" s="192" t="s">
        <v>50</v>
      </c>
      <c r="D14" s="61" t="str">
        <f>INDEX(fields[name],MATCH($B14,fields[field],0))</f>
        <v>Π Ποδόσφαιρο</v>
      </c>
      <c r="E14" s="52" t="str">
        <f t="array" aca="1" ref="E14" ca="1">IF(ISBLANK($A14),"",INDEX(games[th],MATCH(1,(games[r]=$A14)*(games[field]=$B14),0)))</f>
        <v/>
      </c>
      <c r="F14" s="58" t="str">
        <f ca="1">_xlfn.IFNA(INDEX(teams[name],MATCH(E14,teams[id],0)),"")</f>
        <v/>
      </c>
      <c r="G14" s="55" t="str">
        <f t="array" aca="1" ref="G14" ca="1">IF(ISBLANK($A14),"",INDEX(games[ta],MATCH(1,(games[r]=$A14)*(games[field]=$B14),0)))</f>
        <v/>
      </c>
      <c r="H14" s="58" t="str">
        <f ca="1">_xlfn.IFNA(INDEX(teams[name],MATCH(G14,teams[id],0)),"")</f>
        <v/>
      </c>
      <c r="I14" s="43"/>
      <c r="J14" s="44"/>
      <c r="K14" s="45"/>
      <c r="L14" s="42" t="b">
        <f t="shared" si="0"/>
        <v>0</v>
      </c>
    </row>
    <row r="15" spans="1:12" ht="18" customHeight="1" x14ac:dyDescent="0.3">
      <c r="A15" s="41">
        <v>3</v>
      </c>
      <c r="B15" s="41" t="s">
        <v>4</v>
      </c>
      <c r="C15" s="193"/>
      <c r="D15" s="62" t="str">
        <f>INDEX(fields[name],MATCH($B15,fields[field],0))</f>
        <v>Κ Ποδόσφαιρο</v>
      </c>
      <c r="E15" s="53" t="str">
        <f t="array" aca="1" ref="E15" ca="1">IF(ISBLANK($A15),"",INDEX(games[th],MATCH(1,(games[r]=$A15)*(games[field]=$B15),0)))</f>
        <v/>
      </c>
      <c r="F15" s="59" t="str">
        <f ca="1">_xlfn.IFNA(INDEX(teams[name],MATCH(E15,teams[id],0)),"")</f>
        <v/>
      </c>
      <c r="G15" s="56" t="str">
        <f t="array" aca="1" ref="G15" ca="1">IF(ISBLANK($A15),"",INDEX(games[ta],MATCH(1,(games[r]=$A15)*(games[field]=$B15),0)))</f>
        <v/>
      </c>
      <c r="H15" s="59" t="str">
        <f ca="1">_xlfn.IFNA(INDEX(teams[name],MATCH(G15,teams[id],0)),"")</f>
        <v/>
      </c>
      <c r="I15" s="46"/>
      <c r="J15" s="47"/>
      <c r="K15" s="48"/>
      <c r="L15" s="42" t="b">
        <f t="shared" si="0"/>
        <v>0</v>
      </c>
    </row>
    <row r="16" spans="1:12" ht="18" customHeight="1" x14ac:dyDescent="0.3">
      <c r="A16" s="41">
        <v>3</v>
      </c>
      <c r="B16" s="41" t="s">
        <v>5</v>
      </c>
      <c r="C16" s="193"/>
      <c r="D16" s="62" t="str">
        <f>INDEX(fields[name],MATCH($B16,fields[field],0))</f>
        <v>Μπάσκετ</v>
      </c>
      <c r="E16" s="53" t="str">
        <f t="array" aca="1" ref="E16" ca="1">IF(ISBLANK($A16),"",INDEX(games[th],MATCH(1,(games[r]=$A16)*(games[field]=$B16),0)))</f>
        <v/>
      </c>
      <c r="F16" s="59" t="str">
        <f ca="1">_xlfn.IFNA(INDEX(teams[name],MATCH(E16,teams[id],0)),"")</f>
        <v/>
      </c>
      <c r="G16" s="56" t="str">
        <f t="array" aca="1" ref="G16" ca="1">IF(ISBLANK($A16),"",INDEX(games[ta],MATCH(1,(games[r]=$A16)*(games[field]=$B16),0)))</f>
        <v/>
      </c>
      <c r="H16" s="59" t="str">
        <f ca="1">_xlfn.IFNA(INDEX(teams[name],MATCH(G16,teams[id],0)),"")</f>
        <v/>
      </c>
      <c r="I16" s="46"/>
      <c r="J16" s="47"/>
      <c r="K16" s="48"/>
      <c r="L16" s="42" t="b">
        <f t="shared" si="0"/>
        <v>0</v>
      </c>
    </row>
    <row r="17" spans="1:12" ht="18" customHeight="1" x14ac:dyDescent="0.3">
      <c r="A17" s="41">
        <v>3</v>
      </c>
      <c r="B17" s="41" t="s">
        <v>53</v>
      </c>
      <c r="C17" s="193"/>
      <c r="D17" s="62" t="str">
        <f>INDEX(fields[name],MATCH($B17,fields[field],0))</f>
        <v>Βόλεϊ</v>
      </c>
      <c r="E17" s="53" t="str">
        <f t="array" aca="1" ref="E17" ca="1">IF(ISBLANK($A17),"",INDEX(games[th],MATCH(1,(games[r]=$A17)*(games[field]=$B17),0)))</f>
        <v/>
      </c>
      <c r="F17" s="59" t="str">
        <f ca="1">_xlfn.IFNA(INDEX(teams[name],MATCH(E17,teams[id],0)),"")</f>
        <v/>
      </c>
      <c r="G17" s="56" t="str">
        <f t="array" aca="1" ref="G17" ca="1">IF(ISBLANK($A17),"",INDEX(games[ta],MATCH(1,(games[r]=$A17)*(games[field]=$B17),0)))</f>
        <v/>
      </c>
      <c r="H17" s="59" t="str">
        <f ca="1">_xlfn.IFNA(INDEX(teams[name],MATCH(G17,teams[id],0)),"")</f>
        <v/>
      </c>
      <c r="I17" s="46"/>
      <c r="J17" s="47"/>
      <c r="K17" s="48"/>
      <c r="L17" s="42" t="b">
        <f t="shared" si="0"/>
        <v>0</v>
      </c>
    </row>
    <row r="18" spans="1:12" ht="18" customHeight="1" x14ac:dyDescent="0.3">
      <c r="A18" s="41">
        <v>3</v>
      </c>
      <c r="B18" s="41" t="s">
        <v>54</v>
      </c>
      <c r="C18" s="194"/>
      <c r="D18" s="79" t="str">
        <f>INDEX(fields[name],MATCH($B18,fields[field],0))</f>
        <v>Μπέιζμπολ</v>
      </c>
      <c r="E18" s="80" t="str">
        <f t="array" aca="1" ref="E18" ca="1">IF(ISBLANK($A18),"",INDEX(games[th],MATCH(1,(games[r]=$A18)*(games[field]=$B18),0)))</f>
        <v/>
      </c>
      <c r="F18" s="81" t="str">
        <f ca="1">_xlfn.IFNA(INDEX(teams[name],MATCH(E18,teams[id],0)),"")</f>
        <v/>
      </c>
      <c r="G18" s="82" t="str">
        <f t="array" aca="1" ref="G18" ca="1">IF(ISBLANK($A18),"",INDEX(games[ta],MATCH(1,(games[r]=$A18)*(games[field]=$B18),0)))</f>
        <v/>
      </c>
      <c r="H18" s="81" t="str">
        <f ca="1">_xlfn.IFNA(INDEX(teams[name],MATCH(G18,teams[id],0)),"")</f>
        <v/>
      </c>
      <c r="I18" s="83"/>
      <c r="J18" s="84"/>
      <c r="K18" s="85"/>
      <c r="L18" s="42" t="b">
        <f t="shared" si="0"/>
        <v>0</v>
      </c>
    </row>
    <row r="19" spans="1:12" ht="18" customHeight="1" x14ac:dyDescent="0.3">
      <c r="A19" s="41">
        <v>4</v>
      </c>
      <c r="B19" s="41" t="s">
        <v>3</v>
      </c>
      <c r="C19" s="195" t="s">
        <v>51</v>
      </c>
      <c r="D19" s="72" t="str">
        <f>INDEX(fields[name],MATCH($B19,fields[field],0))</f>
        <v>Π Ποδόσφαιρο</v>
      </c>
      <c r="E19" s="73" t="str">
        <f t="array" aca="1" ref="E19" ca="1">IF(ISBLANK($A19),"",INDEX(games[th],MATCH(1,(games[r]=$A19)*(games[field]=$B19),0)))</f>
        <v/>
      </c>
      <c r="F19" s="74" t="str">
        <f ca="1">_xlfn.IFNA(INDEX(teams[name],MATCH(E19,teams[id],0)),"")</f>
        <v/>
      </c>
      <c r="G19" s="75" t="str">
        <f t="array" aca="1" ref="G19" ca="1">IF(ISBLANK($A19),"",INDEX(games[ta],MATCH(1,(games[r]=$A19)*(games[field]=$B19),0)))</f>
        <v/>
      </c>
      <c r="H19" s="74" t="str">
        <f ca="1">_xlfn.IFNA(INDEX(teams[name],MATCH(G19,teams[id],0)),"")</f>
        <v/>
      </c>
      <c r="I19" s="76"/>
      <c r="J19" s="77"/>
      <c r="K19" s="78"/>
      <c r="L19" s="42" t="b">
        <f t="shared" si="0"/>
        <v>0</v>
      </c>
    </row>
    <row r="20" spans="1:12" ht="18" customHeight="1" x14ac:dyDescent="0.3">
      <c r="A20" s="41">
        <v>4</v>
      </c>
      <c r="B20" s="41" t="s">
        <v>4</v>
      </c>
      <c r="C20" s="193"/>
      <c r="D20" s="62" t="str">
        <f>INDEX(fields[name],MATCH($B20,fields[field],0))</f>
        <v>Κ Ποδόσφαιρο</v>
      </c>
      <c r="E20" s="53" t="str">
        <f t="array" aca="1" ref="E20" ca="1">IF(ISBLANK($A20),"",INDEX(games[th],MATCH(1,(games[r]=$A20)*(games[field]=$B20),0)))</f>
        <v/>
      </c>
      <c r="F20" s="59" t="str">
        <f ca="1">_xlfn.IFNA(INDEX(teams[name],MATCH(E20,teams[id],0)),"")</f>
        <v/>
      </c>
      <c r="G20" s="56" t="str">
        <f t="array" aca="1" ref="G20" ca="1">IF(ISBLANK($A20),"",INDEX(games[ta],MATCH(1,(games[r]=$A20)*(games[field]=$B20),0)))</f>
        <v/>
      </c>
      <c r="H20" s="59" t="str">
        <f ca="1">_xlfn.IFNA(INDEX(teams[name],MATCH(G20,teams[id],0)),"")</f>
        <v/>
      </c>
      <c r="I20" s="46"/>
      <c r="J20" s="47"/>
      <c r="K20" s="48"/>
      <c r="L20" s="42" t="b">
        <f t="shared" si="0"/>
        <v>0</v>
      </c>
    </row>
    <row r="21" spans="1:12" ht="18" customHeight="1" x14ac:dyDescent="0.3">
      <c r="A21" s="41">
        <v>4</v>
      </c>
      <c r="B21" s="41" t="s">
        <v>5</v>
      </c>
      <c r="C21" s="193"/>
      <c r="D21" s="62" t="str">
        <f>INDEX(fields[name],MATCH($B21,fields[field],0))</f>
        <v>Μπάσκετ</v>
      </c>
      <c r="E21" s="53" t="str">
        <f t="array" aca="1" ref="E21" ca="1">IF(ISBLANK($A21),"",INDEX(games[th],MATCH(1,(games[r]=$A21)*(games[field]=$B21),0)))</f>
        <v/>
      </c>
      <c r="F21" s="59" t="str">
        <f ca="1">_xlfn.IFNA(INDEX(teams[name],MATCH(E21,teams[id],0)),"")</f>
        <v/>
      </c>
      <c r="G21" s="56" t="str">
        <f t="array" aca="1" ref="G21" ca="1">IF(ISBLANK($A21),"",INDEX(games[ta],MATCH(1,(games[r]=$A21)*(games[field]=$B21),0)))</f>
        <v/>
      </c>
      <c r="H21" s="59" t="str">
        <f ca="1">_xlfn.IFNA(INDEX(teams[name],MATCH(G21,teams[id],0)),"")</f>
        <v/>
      </c>
      <c r="I21" s="46"/>
      <c r="J21" s="47"/>
      <c r="K21" s="48"/>
      <c r="L21" s="42" t="b">
        <f t="shared" si="0"/>
        <v>0</v>
      </c>
    </row>
    <row r="22" spans="1:12" ht="18" customHeight="1" x14ac:dyDescent="0.3">
      <c r="A22" s="41">
        <v>4</v>
      </c>
      <c r="B22" s="41" t="s">
        <v>53</v>
      </c>
      <c r="C22" s="196"/>
      <c r="D22" s="65" t="str">
        <f>INDEX(fields[name],MATCH($B22,fields[field],0))</f>
        <v>Βόλεϊ</v>
      </c>
      <c r="E22" s="66" t="str">
        <f t="array" aca="1" ref="E22" ca="1">IF(ISBLANK($A22),"",INDEX(games[th],MATCH(1,(games[r]=$A22)*(games[field]=$B22),0)))</f>
        <v/>
      </c>
      <c r="F22" s="67" t="str">
        <f ca="1">_xlfn.IFNA(INDEX(teams[name],MATCH(E22,teams[id],0)),"")</f>
        <v/>
      </c>
      <c r="G22" s="68" t="str">
        <f t="array" aca="1" ref="G22" ca="1">IF(ISBLANK($A22),"",INDEX(games[ta],MATCH(1,(games[r]=$A22)*(games[field]=$B22),0)))</f>
        <v/>
      </c>
      <c r="H22" s="67" t="str">
        <f ca="1">_xlfn.IFNA(INDEX(teams[name],MATCH(G22,teams[id],0)),"")</f>
        <v/>
      </c>
      <c r="I22" s="69"/>
      <c r="J22" s="70"/>
      <c r="K22" s="71"/>
      <c r="L22" s="42" t="b">
        <f t="shared" si="0"/>
        <v>0</v>
      </c>
    </row>
    <row r="23" spans="1:12" ht="18" customHeight="1" thickBot="1" x14ac:dyDescent="0.35">
      <c r="A23" s="41">
        <v>4</v>
      </c>
      <c r="B23" s="41" t="s">
        <v>54</v>
      </c>
      <c r="C23" s="198"/>
      <c r="D23" s="64" t="str">
        <f>INDEX(fields[name],MATCH($B23,fields[field],0))</f>
        <v>Μπέιζμπολ</v>
      </c>
      <c r="E23" s="54" t="str">
        <f t="array" aca="1" ref="E23" ca="1">IF(ISBLANK($A23),"",INDEX(games[th],MATCH(1,(games[r]=$A23)*(games[field]=$B23),0)))</f>
        <v/>
      </c>
      <c r="F23" s="60" t="str">
        <f ca="1">_xlfn.IFNA(INDEX(teams[name],MATCH(E23,teams[id],0)),"")</f>
        <v/>
      </c>
      <c r="G23" s="57" t="str">
        <f t="array" aca="1" ref="G23" ca="1">IF(ISBLANK($A23),"",INDEX(games[ta],MATCH(1,(games[r]=$A23)*(games[field]=$B23),0)))</f>
        <v/>
      </c>
      <c r="H23" s="60" t="str">
        <f ca="1">_xlfn.IFNA(INDEX(teams[name],MATCH(G23,teams[id],0)),"")</f>
        <v/>
      </c>
      <c r="I23" s="88"/>
      <c r="J23" s="89"/>
      <c r="K23" s="90"/>
      <c r="L23" s="42" t="b">
        <f t="shared" si="0"/>
        <v>0</v>
      </c>
    </row>
    <row r="24" spans="1:12" ht="18" customHeight="1" thickBot="1" x14ac:dyDescent="0.35"/>
    <row r="25" spans="1:12" ht="18" customHeight="1" thickBot="1" x14ac:dyDescent="0.35">
      <c r="C25" s="189">
        <f>C3+1</f>
        <v>46245</v>
      </c>
      <c r="D25" s="190"/>
      <c r="E25" s="190"/>
      <c r="F25" s="190"/>
      <c r="G25" s="190"/>
      <c r="H25" s="190"/>
      <c r="I25" s="190"/>
      <c r="J25" s="190"/>
      <c r="K25" s="191"/>
    </row>
    <row r="26" spans="1:12" ht="18" customHeight="1" thickTop="1" x14ac:dyDescent="0.3">
      <c r="A26" s="41">
        <f>A4+4</f>
        <v>5</v>
      </c>
      <c r="B26" s="41" t="s">
        <v>3</v>
      </c>
      <c r="C26" s="192" t="s">
        <v>48</v>
      </c>
      <c r="D26" s="61" t="str">
        <f>INDEX(fields[name],MATCH($B26,fields[field],0))</f>
        <v>Π Ποδόσφαιρο</v>
      </c>
      <c r="E26" s="52" t="str">
        <f t="array" aca="1" ref="E26" ca="1">IF(ISBLANK($A26),"",INDEX(games[th],MATCH(1,(games[r]=$A26)*(games[field]=$B26),0)))</f>
        <v/>
      </c>
      <c r="F26" s="58" t="str">
        <f ca="1">_xlfn.IFNA(INDEX(teams[name],MATCH(E26,teams[id],0)),"")</f>
        <v/>
      </c>
      <c r="G26" s="55" t="str">
        <f t="array" aca="1" ref="G26" ca="1">IF(ISBLANK($A26),"",INDEX(games[ta],MATCH(1,(games[r]=$A26)*(games[field]=$B26),0)))</f>
        <v/>
      </c>
      <c r="H26" s="58" t="str">
        <f ca="1">_xlfn.IFNA(INDEX(teams[name],MATCH(G26,teams[id],0)),"")</f>
        <v/>
      </c>
      <c r="I26" s="43"/>
      <c r="J26" s="44"/>
      <c r="K26" s="45"/>
      <c r="L26" s="42" t="b">
        <f>NOT(OR(ISBLANK($I26),ISBLANK($J26)))</f>
        <v>0</v>
      </c>
    </row>
    <row r="27" spans="1:12" ht="18" customHeight="1" x14ac:dyDescent="0.3">
      <c r="A27" s="41">
        <f t="shared" ref="A27:A45" si="1">A5+4</f>
        <v>5</v>
      </c>
      <c r="B27" s="41" t="s">
        <v>4</v>
      </c>
      <c r="C27" s="193"/>
      <c r="D27" s="62" t="str">
        <f>INDEX(fields[name],MATCH($B27,fields[field],0))</f>
        <v>Κ Ποδόσφαιρο</v>
      </c>
      <c r="E27" s="53" t="str">
        <f t="array" aca="1" ref="E27" ca="1">IF(ISBLANK($A27),"",INDEX(games[th],MATCH(1,(games[r]=$A27)*(games[field]=$B27),0)))</f>
        <v/>
      </c>
      <c r="F27" s="59" t="str">
        <f ca="1">_xlfn.IFNA(INDEX(teams[name],MATCH(E27,teams[id],0)),"")</f>
        <v/>
      </c>
      <c r="G27" s="56" t="str">
        <f t="array" aca="1" ref="G27" ca="1">IF(ISBLANK($A27),"",INDEX(games[ta],MATCH(1,(games[r]=$A27)*(games[field]=$B27),0)))</f>
        <v/>
      </c>
      <c r="H27" s="59" t="str">
        <f ca="1">_xlfn.IFNA(INDEX(teams[name],MATCH(G27,teams[id],0)),"")</f>
        <v/>
      </c>
      <c r="I27" s="46"/>
      <c r="J27" s="47"/>
      <c r="K27" s="48"/>
      <c r="L27" s="42" t="b">
        <f t="shared" ref="L27:L35" si="2">NOT(OR(ISBLANK($I27),ISBLANK($J27)))</f>
        <v>0</v>
      </c>
    </row>
    <row r="28" spans="1:12" ht="18" customHeight="1" x14ac:dyDescent="0.3">
      <c r="A28" s="41">
        <f t="shared" si="1"/>
        <v>5</v>
      </c>
      <c r="B28" s="41" t="s">
        <v>5</v>
      </c>
      <c r="C28" s="193"/>
      <c r="D28" s="62" t="str">
        <f>INDEX(fields[name],MATCH($B28,fields[field],0))</f>
        <v>Μπάσκετ</v>
      </c>
      <c r="E28" s="53" t="str">
        <f t="array" aca="1" ref="E28" ca="1">IF(ISBLANK($A28),"",INDEX(games[th],MATCH(1,(games[r]=$A28)*(games[field]=$B28),0)))</f>
        <v/>
      </c>
      <c r="F28" s="59" t="str">
        <f ca="1">_xlfn.IFNA(INDEX(teams[name],MATCH(E28,teams[id],0)),"")</f>
        <v/>
      </c>
      <c r="G28" s="56" t="str">
        <f t="array" aca="1" ref="G28" ca="1">IF(ISBLANK($A28),"",INDEX(games[ta],MATCH(1,(games[r]=$A28)*(games[field]=$B28),0)))</f>
        <v/>
      </c>
      <c r="H28" s="59" t="str">
        <f ca="1">_xlfn.IFNA(INDEX(teams[name],MATCH(G28,teams[id],0)),"")</f>
        <v/>
      </c>
      <c r="I28" s="46"/>
      <c r="J28" s="47"/>
      <c r="K28" s="48"/>
      <c r="L28" s="42" t="b">
        <f t="shared" si="2"/>
        <v>0</v>
      </c>
    </row>
    <row r="29" spans="1:12" ht="18" customHeight="1" x14ac:dyDescent="0.3">
      <c r="A29" s="41">
        <f t="shared" si="1"/>
        <v>5</v>
      </c>
      <c r="B29" s="41" t="s">
        <v>53</v>
      </c>
      <c r="C29" s="193"/>
      <c r="D29" s="62" t="str">
        <f>INDEX(fields[name],MATCH($B29,fields[field],0))</f>
        <v>Βόλεϊ</v>
      </c>
      <c r="E29" s="53" t="str">
        <f t="array" aca="1" ref="E29" ca="1">IF(ISBLANK($A29),"",INDEX(games[th],MATCH(1,(games[r]=$A29)*(games[field]=$B29),0)))</f>
        <v/>
      </c>
      <c r="F29" s="59" t="str">
        <f ca="1">_xlfn.IFNA(INDEX(teams[name],MATCH(E29,teams[id],0)),"")</f>
        <v/>
      </c>
      <c r="G29" s="56" t="str">
        <f t="array" aca="1" ref="G29" ca="1">IF(ISBLANK($A29),"",INDEX(games[ta],MATCH(1,(games[r]=$A29)*(games[field]=$B29),0)))</f>
        <v/>
      </c>
      <c r="H29" s="59" t="str">
        <f ca="1">_xlfn.IFNA(INDEX(teams[name],MATCH(G29,teams[id],0)),"")</f>
        <v/>
      </c>
      <c r="I29" s="46"/>
      <c r="J29" s="47"/>
      <c r="K29" s="48"/>
      <c r="L29" s="42" t="b">
        <f t="shared" si="2"/>
        <v>0</v>
      </c>
    </row>
    <row r="30" spans="1:12" ht="18" customHeight="1" x14ac:dyDescent="0.3">
      <c r="A30" s="41">
        <f t="shared" si="1"/>
        <v>5</v>
      </c>
      <c r="B30" s="41" t="s">
        <v>54</v>
      </c>
      <c r="C30" s="194"/>
      <c r="D30" s="79" t="str">
        <f>INDEX(fields[name],MATCH($B30,fields[field],0))</f>
        <v>Μπέιζμπολ</v>
      </c>
      <c r="E30" s="80" t="str">
        <f t="array" aca="1" ref="E30" ca="1">IF(ISBLANK($A30),"",INDEX(games[th],MATCH(1,(games[r]=$A30)*(games[field]=$B30),0)))</f>
        <v/>
      </c>
      <c r="F30" s="81" t="str">
        <f ca="1">_xlfn.IFNA(INDEX(teams[name],MATCH(E30,teams[id],0)),"")</f>
        <v/>
      </c>
      <c r="G30" s="82" t="str">
        <f t="array" aca="1" ref="G30" ca="1">IF(ISBLANK($A30),"",INDEX(games[ta],MATCH(1,(games[r]=$A30)*(games[field]=$B30),0)))</f>
        <v/>
      </c>
      <c r="H30" s="81" t="str">
        <f ca="1">_xlfn.IFNA(INDEX(teams[name],MATCH(G30,teams[id],0)),"")</f>
        <v/>
      </c>
      <c r="I30" s="83"/>
      <c r="J30" s="84"/>
      <c r="K30" s="85"/>
      <c r="L30" s="42" t="b">
        <f t="shared" si="2"/>
        <v>0</v>
      </c>
    </row>
    <row r="31" spans="1:12" ht="18" customHeight="1" x14ac:dyDescent="0.3">
      <c r="A31" s="41">
        <f t="shared" si="1"/>
        <v>6</v>
      </c>
      <c r="B31" s="41" t="s">
        <v>3</v>
      </c>
      <c r="C31" s="195" t="s">
        <v>49</v>
      </c>
      <c r="D31" s="72" t="str">
        <f>INDEX(fields[name],MATCH($B31,fields[field],0))</f>
        <v>Π Ποδόσφαιρο</v>
      </c>
      <c r="E31" s="73" t="str">
        <f t="array" aca="1" ref="E31" ca="1">IF(ISBLANK($A31),"",INDEX(games[th],MATCH(1,(games[r]=$A31)*(games[field]=$B31),0)))</f>
        <v/>
      </c>
      <c r="F31" s="74" t="str">
        <f ca="1">_xlfn.IFNA(INDEX(teams[name],MATCH(E31,teams[id],0)),"")</f>
        <v/>
      </c>
      <c r="G31" s="75" t="str">
        <f t="array" aca="1" ref="G31" ca="1">IF(ISBLANK($A31),"",INDEX(games[ta],MATCH(1,(games[r]=$A31)*(games[field]=$B31),0)))</f>
        <v/>
      </c>
      <c r="H31" s="74" t="str">
        <f ca="1">_xlfn.IFNA(INDEX(teams[name],MATCH(G31,teams[id],0)),"")</f>
        <v/>
      </c>
      <c r="I31" s="76"/>
      <c r="J31" s="77"/>
      <c r="K31" s="78"/>
      <c r="L31" s="42" t="b">
        <f t="shared" si="2"/>
        <v>0</v>
      </c>
    </row>
    <row r="32" spans="1:12" ht="18" customHeight="1" x14ac:dyDescent="0.3">
      <c r="A32" s="41">
        <f t="shared" si="1"/>
        <v>6</v>
      </c>
      <c r="B32" s="41" t="s">
        <v>4</v>
      </c>
      <c r="C32" s="193"/>
      <c r="D32" s="62" t="str">
        <f>INDEX(fields[name],MATCH($B32,fields[field],0))</f>
        <v>Κ Ποδόσφαιρο</v>
      </c>
      <c r="E32" s="53" t="str">
        <f t="array" aca="1" ref="E32" ca="1">IF(ISBLANK($A32),"",INDEX(games[th],MATCH(1,(games[r]=$A32)*(games[field]=$B32),0)))</f>
        <v/>
      </c>
      <c r="F32" s="59" t="str">
        <f ca="1">_xlfn.IFNA(INDEX(teams[name],MATCH(E32,teams[id],0)),"")</f>
        <v/>
      </c>
      <c r="G32" s="56" t="str">
        <f t="array" aca="1" ref="G32" ca="1">IF(ISBLANK($A32),"",INDEX(games[ta],MATCH(1,(games[r]=$A32)*(games[field]=$B32),0)))</f>
        <v/>
      </c>
      <c r="H32" s="59" t="str">
        <f ca="1">_xlfn.IFNA(INDEX(teams[name],MATCH(G32,teams[id],0)),"")</f>
        <v/>
      </c>
      <c r="I32" s="46"/>
      <c r="J32" s="47"/>
      <c r="K32" s="48"/>
      <c r="L32" s="42" t="b">
        <f t="shared" si="2"/>
        <v>0</v>
      </c>
    </row>
    <row r="33" spans="1:12" ht="18" customHeight="1" x14ac:dyDescent="0.3">
      <c r="A33" s="41">
        <f t="shared" si="1"/>
        <v>6</v>
      </c>
      <c r="B33" s="41" t="s">
        <v>5</v>
      </c>
      <c r="C33" s="193"/>
      <c r="D33" s="62" t="str">
        <f>INDEX(fields[name],MATCH($B33,fields[field],0))</f>
        <v>Μπάσκετ</v>
      </c>
      <c r="E33" s="53" t="str">
        <f t="array" aca="1" ref="E33" ca="1">IF(ISBLANK($A33),"",INDEX(games[th],MATCH(1,(games[r]=$A33)*(games[field]=$B33),0)))</f>
        <v/>
      </c>
      <c r="F33" s="59" t="str">
        <f ca="1">_xlfn.IFNA(INDEX(teams[name],MATCH(E33,teams[id],0)),"")</f>
        <v/>
      </c>
      <c r="G33" s="56" t="str">
        <f t="array" aca="1" ref="G33" ca="1">IF(ISBLANK($A33),"",INDEX(games[ta],MATCH(1,(games[r]=$A33)*(games[field]=$B33),0)))</f>
        <v/>
      </c>
      <c r="H33" s="59" t="str">
        <f ca="1">_xlfn.IFNA(INDEX(teams[name],MATCH(G33,teams[id],0)),"")</f>
        <v/>
      </c>
      <c r="I33" s="46"/>
      <c r="J33" s="47"/>
      <c r="K33" s="48"/>
      <c r="L33" s="42" t="b">
        <f t="shared" si="2"/>
        <v>0</v>
      </c>
    </row>
    <row r="34" spans="1:12" ht="18" customHeight="1" x14ac:dyDescent="0.3">
      <c r="A34" s="41">
        <f t="shared" si="1"/>
        <v>6</v>
      </c>
      <c r="B34" s="41" t="s">
        <v>53</v>
      </c>
      <c r="C34" s="196"/>
      <c r="D34" s="65" t="str">
        <f>INDEX(fields[name],MATCH($B34,fields[field],0))</f>
        <v>Βόλεϊ</v>
      </c>
      <c r="E34" s="66" t="str">
        <f t="array" aca="1" ref="E34" ca="1">IF(ISBLANK($A34),"",INDEX(games[th],MATCH(1,(games[r]=$A34)*(games[field]=$B34),0)))</f>
        <v/>
      </c>
      <c r="F34" s="67" t="str">
        <f ca="1">_xlfn.IFNA(INDEX(teams[name],MATCH(E34,teams[id],0)),"")</f>
        <v/>
      </c>
      <c r="G34" s="68" t="str">
        <f t="array" aca="1" ref="G34" ca="1">IF(ISBLANK($A34),"",INDEX(games[ta],MATCH(1,(games[r]=$A34)*(games[field]=$B34),0)))</f>
        <v/>
      </c>
      <c r="H34" s="67" t="str">
        <f ca="1">_xlfn.IFNA(INDEX(teams[name],MATCH(G34,teams[id],0)),"")</f>
        <v/>
      </c>
      <c r="I34" s="69"/>
      <c r="J34" s="70"/>
      <c r="K34" s="71"/>
      <c r="L34" s="42" t="b">
        <f t="shared" si="2"/>
        <v>0</v>
      </c>
    </row>
    <row r="35" spans="1:12" ht="18" customHeight="1" thickBot="1" x14ac:dyDescent="0.35">
      <c r="A35" s="41">
        <f t="shared" si="1"/>
        <v>6</v>
      </c>
      <c r="B35" s="41" t="s">
        <v>54</v>
      </c>
      <c r="C35" s="197"/>
      <c r="D35" s="63" t="str">
        <f>INDEX(fields[name],MATCH($B35,fields[field],0))</f>
        <v>Μπέιζμπολ</v>
      </c>
      <c r="E35" s="54" t="str">
        <f t="array" aca="1" ref="E35" ca="1">IF(ISBLANK($A35),"",INDEX(games[th],MATCH(1,(games[r]=$A35)*(games[field]=$B35),0)))</f>
        <v/>
      </c>
      <c r="F35" s="60" t="str">
        <f ca="1">_xlfn.IFNA(INDEX(teams[name],MATCH(E35,teams[id],0)),"")</f>
        <v/>
      </c>
      <c r="G35" s="57" t="str">
        <f t="array" aca="1" ref="G35" ca="1">IF(ISBLANK($A35),"",INDEX(games[ta],MATCH(1,(games[r]=$A35)*(games[field]=$B35),0)))</f>
        <v/>
      </c>
      <c r="H35" s="60" t="str">
        <f ca="1">_xlfn.IFNA(INDEX(teams[name],MATCH(G35,teams[id],0)),"")</f>
        <v/>
      </c>
      <c r="I35" s="49"/>
      <c r="J35" s="50"/>
      <c r="K35" s="51"/>
      <c r="L35" s="42" t="b">
        <f t="shared" si="2"/>
        <v>0</v>
      </c>
    </row>
    <row r="36" spans="1:12" ht="18" customHeight="1" thickTop="1" x14ac:dyDescent="0.3">
      <c r="A36" s="41">
        <f t="shared" si="1"/>
        <v>7</v>
      </c>
      <c r="B36" s="41" t="s">
        <v>3</v>
      </c>
      <c r="C36" s="192" t="s">
        <v>50</v>
      </c>
      <c r="D36" s="61" t="str">
        <f>INDEX(fields[name],MATCH($B36,fields[field],0))</f>
        <v>Π Ποδόσφαιρο</v>
      </c>
      <c r="E36" s="52" t="str">
        <f t="array" aca="1" ref="E36" ca="1">IF(ISBLANK($A36),"",INDEX(games[th],MATCH(1,(games[r]=$A36)*(games[field]=$B36),0)))</f>
        <v/>
      </c>
      <c r="F36" s="58" t="str">
        <f ca="1">_xlfn.IFNA(INDEX(teams[name],MATCH(E36,teams[id],0)),"")</f>
        <v/>
      </c>
      <c r="G36" s="55" t="str">
        <f t="array" aca="1" ref="G36" ca="1">IF(ISBLANK($A36),"",INDEX(games[ta],MATCH(1,(games[r]=$A36)*(games[field]=$B36),0)))</f>
        <v/>
      </c>
      <c r="H36" s="58" t="str">
        <f ca="1">_xlfn.IFNA(INDEX(teams[name],MATCH(G36,teams[id],0)),"")</f>
        <v/>
      </c>
      <c r="I36" s="43"/>
      <c r="J36" s="44"/>
      <c r="K36" s="45"/>
      <c r="L36" s="42" t="b">
        <f>NOT(OR(ISBLANK($I36),ISBLANK($J36)))</f>
        <v>0</v>
      </c>
    </row>
    <row r="37" spans="1:12" ht="18" customHeight="1" x14ac:dyDescent="0.3">
      <c r="A37" s="41">
        <f t="shared" si="1"/>
        <v>7</v>
      </c>
      <c r="B37" s="41" t="s">
        <v>4</v>
      </c>
      <c r="C37" s="193"/>
      <c r="D37" s="62" t="str">
        <f>INDEX(fields[name],MATCH($B37,fields[field],0))</f>
        <v>Κ Ποδόσφαιρο</v>
      </c>
      <c r="E37" s="53" t="str">
        <f t="array" aca="1" ref="E37" ca="1">IF(ISBLANK($A37),"",INDEX(games[th],MATCH(1,(games[r]=$A37)*(games[field]=$B37),0)))</f>
        <v/>
      </c>
      <c r="F37" s="59" t="str">
        <f ca="1">_xlfn.IFNA(INDEX(teams[name],MATCH(E37,teams[id],0)),"")</f>
        <v/>
      </c>
      <c r="G37" s="56" t="str">
        <f t="array" aca="1" ref="G37" ca="1">IF(ISBLANK($A37),"",INDEX(games[ta],MATCH(1,(games[r]=$A37)*(games[field]=$B37),0)))</f>
        <v/>
      </c>
      <c r="H37" s="59" t="str">
        <f ca="1">_xlfn.IFNA(INDEX(teams[name],MATCH(G37,teams[id],0)),"")</f>
        <v/>
      </c>
      <c r="I37" s="46"/>
      <c r="J37" s="47"/>
      <c r="K37" s="48"/>
      <c r="L37" s="42" t="b">
        <f t="shared" ref="L37:L45" si="3">NOT(OR(ISBLANK($I37),ISBLANK($J37)))</f>
        <v>0</v>
      </c>
    </row>
    <row r="38" spans="1:12" ht="18" customHeight="1" x14ac:dyDescent="0.3">
      <c r="A38" s="41">
        <f t="shared" si="1"/>
        <v>7</v>
      </c>
      <c r="B38" s="41" t="s">
        <v>5</v>
      </c>
      <c r="C38" s="193"/>
      <c r="D38" s="62" t="str">
        <f>INDEX(fields[name],MATCH($B38,fields[field],0))</f>
        <v>Μπάσκετ</v>
      </c>
      <c r="E38" s="53" t="str">
        <f t="array" aca="1" ref="E38" ca="1">IF(ISBLANK($A38),"",INDEX(games[th],MATCH(1,(games[r]=$A38)*(games[field]=$B38),0)))</f>
        <v/>
      </c>
      <c r="F38" s="59" t="str">
        <f ca="1">_xlfn.IFNA(INDEX(teams[name],MATCH(E38,teams[id],0)),"")</f>
        <v/>
      </c>
      <c r="G38" s="56" t="str">
        <f t="array" aca="1" ref="G38" ca="1">IF(ISBLANK($A38),"",INDEX(games[ta],MATCH(1,(games[r]=$A38)*(games[field]=$B38),0)))</f>
        <v/>
      </c>
      <c r="H38" s="59" t="str">
        <f ca="1">_xlfn.IFNA(INDEX(teams[name],MATCH(G38,teams[id],0)),"")</f>
        <v/>
      </c>
      <c r="I38" s="46"/>
      <c r="J38" s="47"/>
      <c r="K38" s="48"/>
      <c r="L38" s="42" t="b">
        <f t="shared" si="3"/>
        <v>0</v>
      </c>
    </row>
    <row r="39" spans="1:12" ht="18" customHeight="1" x14ac:dyDescent="0.3">
      <c r="A39" s="41">
        <f t="shared" si="1"/>
        <v>7</v>
      </c>
      <c r="B39" s="41" t="s">
        <v>53</v>
      </c>
      <c r="C39" s="193"/>
      <c r="D39" s="62" t="str">
        <f>INDEX(fields[name],MATCH($B39,fields[field],0))</f>
        <v>Βόλεϊ</v>
      </c>
      <c r="E39" s="53" t="str">
        <f t="array" aca="1" ref="E39" ca="1">IF(ISBLANK($A39),"",INDEX(games[th],MATCH(1,(games[r]=$A39)*(games[field]=$B39),0)))</f>
        <v/>
      </c>
      <c r="F39" s="59" t="str">
        <f ca="1">_xlfn.IFNA(INDEX(teams[name],MATCH(E39,teams[id],0)),"")</f>
        <v/>
      </c>
      <c r="G39" s="56" t="str">
        <f t="array" aca="1" ref="G39" ca="1">IF(ISBLANK($A39),"",INDEX(games[ta],MATCH(1,(games[r]=$A39)*(games[field]=$B39),0)))</f>
        <v/>
      </c>
      <c r="H39" s="59" t="str">
        <f ca="1">_xlfn.IFNA(INDEX(teams[name],MATCH(G39,teams[id],0)),"")</f>
        <v/>
      </c>
      <c r="I39" s="46"/>
      <c r="J39" s="47"/>
      <c r="K39" s="48"/>
      <c r="L39" s="42" t="b">
        <f t="shared" si="3"/>
        <v>0</v>
      </c>
    </row>
    <row r="40" spans="1:12" ht="18" customHeight="1" x14ac:dyDescent="0.3">
      <c r="A40" s="41">
        <f t="shared" si="1"/>
        <v>7</v>
      </c>
      <c r="B40" s="41" t="s">
        <v>54</v>
      </c>
      <c r="C40" s="194"/>
      <c r="D40" s="79" t="str">
        <f>INDEX(fields[name],MATCH($B40,fields[field],0))</f>
        <v>Μπέιζμπολ</v>
      </c>
      <c r="E40" s="80" t="str">
        <f t="array" aca="1" ref="E40" ca="1">IF(ISBLANK($A40),"",INDEX(games[th],MATCH(1,(games[r]=$A40)*(games[field]=$B40),0)))</f>
        <v/>
      </c>
      <c r="F40" s="81" t="str">
        <f ca="1">_xlfn.IFNA(INDEX(teams[name],MATCH(E40,teams[id],0)),"")</f>
        <v/>
      </c>
      <c r="G40" s="82" t="str">
        <f t="array" aca="1" ref="G40" ca="1">IF(ISBLANK($A40),"",INDEX(games[ta],MATCH(1,(games[r]=$A40)*(games[field]=$B40),0)))</f>
        <v/>
      </c>
      <c r="H40" s="81" t="str">
        <f ca="1">_xlfn.IFNA(INDEX(teams[name],MATCH(G40,teams[id],0)),"")</f>
        <v/>
      </c>
      <c r="I40" s="83"/>
      <c r="J40" s="84"/>
      <c r="K40" s="85"/>
      <c r="L40" s="42" t="b">
        <f t="shared" si="3"/>
        <v>0</v>
      </c>
    </row>
    <row r="41" spans="1:12" ht="18" customHeight="1" x14ac:dyDescent="0.3">
      <c r="A41" s="41">
        <f t="shared" si="1"/>
        <v>8</v>
      </c>
      <c r="B41" s="41" t="s">
        <v>3</v>
      </c>
      <c r="C41" s="195" t="s">
        <v>51</v>
      </c>
      <c r="D41" s="72" t="str">
        <f>INDEX(fields[name],MATCH($B41,fields[field],0))</f>
        <v>Π Ποδόσφαιρο</v>
      </c>
      <c r="E41" s="73" t="str">
        <f t="array" aca="1" ref="E41" ca="1">IF(ISBLANK($A41),"",INDEX(games[th],MATCH(1,(games[r]=$A41)*(games[field]=$B41),0)))</f>
        <v/>
      </c>
      <c r="F41" s="74" t="str">
        <f ca="1">_xlfn.IFNA(INDEX(teams[name],MATCH(E41,teams[id],0)),"")</f>
        <v/>
      </c>
      <c r="G41" s="75" t="str">
        <f t="array" aca="1" ref="G41" ca="1">IF(ISBLANK($A41),"",INDEX(games[ta],MATCH(1,(games[r]=$A41)*(games[field]=$B41),0)))</f>
        <v/>
      </c>
      <c r="H41" s="74" t="str">
        <f ca="1">_xlfn.IFNA(INDEX(teams[name],MATCH(G41,teams[id],0)),"")</f>
        <v/>
      </c>
      <c r="I41" s="76"/>
      <c r="J41" s="77"/>
      <c r="K41" s="78"/>
      <c r="L41" s="42" t="b">
        <f t="shared" si="3"/>
        <v>0</v>
      </c>
    </row>
    <row r="42" spans="1:12" ht="18" customHeight="1" x14ac:dyDescent="0.3">
      <c r="A42" s="41">
        <f t="shared" si="1"/>
        <v>8</v>
      </c>
      <c r="B42" s="41" t="s">
        <v>4</v>
      </c>
      <c r="C42" s="193"/>
      <c r="D42" s="62" t="str">
        <f>INDEX(fields[name],MATCH($B42,fields[field],0))</f>
        <v>Κ Ποδόσφαιρο</v>
      </c>
      <c r="E42" s="53" t="str">
        <f t="array" aca="1" ref="E42" ca="1">IF(ISBLANK($A42),"",INDEX(games[th],MATCH(1,(games[r]=$A42)*(games[field]=$B42),0)))</f>
        <v/>
      </c>
      <c r="F42" s="59" t="str">
        <f ca="1">_xlfn.IFNA(INDEX(teams[name],MATCH(E42,teams[id],0)),"")</f>
        <v/>
      </c>
      <c r="G42" s="56" t="str">
        <f t="array" aca="1" ref="G42" ca="1">IF(ISBLANK($A42),"",INDEX(games[ta],MATCH(1,(games[r]=$A42)*(games[field]=$B42),0)))</f>
        <v/>
      </c>
      <c r="H42" s="59" t="str">
        <f ca="1">_xlfn.IFNA(INDEX(teams[name],MATCH(G42,teams[id],0)),"")</f>
        <v/>
      </c>
      <c r="I42" s="46"/>
      <c r="J42" s="47"/>
      <c r="K42" s="48"/>
      <c r="L42" s="42" t="b">
        <f t="shared" si="3"/>
        <v>0</v>
      </c>
    </row>
    <row r="43" spans="1:12" ht="18" customHeight="1" x14ac:dyDescent="0.3">
      <c r="A43" s="41">
        <f t="shared" si="1"/>
        <v>8</v>
      </c>
      <c r="B43" s="41" t="s">
        <v>5</v>
      </c>
      <c r="C43" s="193"/>
      <c r="D43" s="62" t="str">
        <f>INDEX(fields[name],MATCH($B43,fields[field],0))</f>
        <v>Μπάσκετ</v>
      </c>
      <c r="E43" s="53" t="str">
        <f t="array" aca="1" ref="E43" ca="1">IF(ISBLANK($A43),"",INDEX(games[th],MATCH(1,(games[r]=$A43)*(games[field]=$B43),0)))</f>
        <v/>
      </c>
      <c r="F43" s="59" t="str">
        <f ca="1">_xlfn.IFNA(INDEX(teams[name],MATCH(E43,teams[id],0)),"")</f>
        <v/>
      </c>
      <c r="G43" s="56" t="str">
        <f t="array" aca="1" ref="G43" ca="1">IF(ISBLANK($A43),"",INDEX(games[ta],MATCH(1,(games[r]=$A43)*(games[field]=$B43),0)))</f>
        <v/>
      </c>
      <c r="H43" s="59" t="str">
        <f ca="1">_xlfn.IFNA(INDEX(teams[name],MATCH(G43,teams[id],0)),"")</f>
        <v/>
      </c>
      <c r="I43" s="46"/>
      <c r="J43" s="47"/>
      <c r="K43" s="48"/>
      <c r="L43" s="42" t="b">
        <f t="shared" si="3"/>
        <v>0</v>
      </c>
    </row>
    <row r="44" spans="1:12" ht="18" customHeight="1" x14ac:dyDescent="0.3">
      <c r="A44" s="41">
        <f t="shared" si="1"/>
        <v>8</v>
      </c>
      <c r="B44" s="41" t="s">
        <v>53</v>
      </c>
      <c r="C44" s="196"/>
      <c r="D44" s="65" t="str">
        <f>INDEX(fields[name],MATCH($B44,fields[field],0))</f>
        <v>Βόλεϊ</v>
      </c>
      <c r="E44" s="66" t="str">
        <f t="array" aca="1" ref="E44" ca="1">IF(ISBLANK($A44),"",INDEX(games[th],MATCH(1,(games[r]=$A44)*(games[field]=$B44),0)))</f>
        <v/>
      </c>
      <c r="F44" s="67" t="str">
        <f ca="1">_xlfn.IFNA(INDEX(teams[name],MATCH(E44,teams[id],0)),"")</f>
        <v/>
      </c>
      <c r="G44" s="68" t="str">
        <f t="array" aca="1" ref="G44" ca="1">IF(ISBLANK($A44),"",INDEX(games[ta],MATCH(1,(games[r]=$A44)*(games[field]=$B44),0)))</f>
        <v/>
      </c>
      <c r="H44" s="67" t="str">
        <f ca="1">_xlfn.IFNA(INDEX(teams[name],MATCH(G44,teams[id],0)),"")</f>
        <v/>
      </c>
      <c r="I44" s="69"/>
      <c r="J44" s="70"/>
      <c r="K44" s="71"/>
      <c r="L44" s="42" t="b">
        <f t="shared" si="3"/>
        <v>0</v>
      </c>
    </row>
    <row r="45" spans="1:12" ht="18" customHeight="1" thickBot="1" x14ac:dyDescent="0.35">
      <c r="A45" s="41">
        <f t="shared" si="1"/>
        <v>8</v>
      </c>
      <c r="B45" s="41" t="s">
        <v>54</v>
      </c>
      <c r="C45" s="198"/>
      <c r="D45" s="64" t="str">
        <f>INDEX(fields[name],MATCH($B45,fields[field],0))</f>
        <v>Μπέιζμπολ</v>
      </c>
      <c r="E45" s="54" t="str">
        <f t="array" aca="1" ref="E45" ca="1">IF(ISBLANK($A45),"",INDEX(games[th],MATCH(1,(games[r]=$A45)*(games[field]=$B45),0)))</f>
        <v/>
      </c>
      <c r="F45" s="60" t="str">
        <f ca="1">_xlfn.IFNA(INDEX(teams[name],MATCH(E45,teams[id],0)),"")</f>
        <v/>
      </c>
      <c r="G45" s="57" t="str">
        <f t="array" aca="1" ref="G45" ca="1">IF(ISBLANK($A45),"",INDEX(games[ta],MATCH(1,(games[r]=$A45)*(games[field]=$B45),0)))</f>
        <v/>
      </c>
      <c r="H45" s="60" t="str">
        <f ca="1">_xlfn.IFNA(INDEX(teams[name],MATCH(G45,teams[id],0)),"")</f>
        <v/>
      </c>
      <c r="I45" s="88"/>
      <c r="J45" s="89"/>
      <c r="K45" s="90"/>
      <c r="L45" s="42" t="b">
        <f t="shared" si="3"/>
        <v>0</v>
      </c>
    </row>
    <row r="46" spans="1:12" ht="18" customHeight="1" thickBot="1" x14ac:dyDescent="0.35"/>
    <row r="47" spans="1:12" ht="18" customHeight="1" thickBot="1" x14ac:dyDescent="0.35">
      <c r="C47" s="189">
        <f>C25+1</f>
        <v>46246</v>
      </c>
      <c r="D47" s="190"/>
      <c r="E47" s="190"/>
      <c r="F47" s="190"/>
      <c r="G47" s="190"/>
      <c r="H47" s="190"/>
      <c r="I47" s="190"/>
      <c r="J47" s="190"/>
      <c r="K47" s="191"/>
    </row>
    <row r="48" spans="1:12" ht="18" customHeight="1" thickTop="1" x14ac:dyDescent="0.3">
      <c r="A48" s="41">
        <f>A26+4</f>
        <v>9</v>
      </c>
      <c r="B48" s="41" t="s">
        <v>3</v>
      </c>
      <c r="C48" s="192" t="s">
        <v>48</v>
      </c>
      <c r="D48" s="61" t="str">
        <f>INDEX(fields[name],MATCH($B48,fields[field],0))</f>
        <v>Π Ποδόσφαιρο</v>
      </c>
      <c r="E48" s="52" t="str">
        <f t="array" aca="1" ref="E48" ca="1">IF(ISBLANK($A48),"",INDEX(games[th],MATCH(1,(games[r]=$A48)*(games[field]=$B48),0)))</f>
        <v/>
      </c>
      <c r="F48" s="58" t="str">
        <f ca="1">_xlfn.IFNA(INDEX(teams[name],MATCH(E48,teams[id],0)),"")</f>
        <v/>
      </c>
      <c r="G48" s="55" t="str">
        <f t="array" aca="1" ref="G48" ca="1">IF(ISBLANK($A48),"",INDEX(games[ta],MATCH(1,(games[r]=$A48)*(games[field]=$B48),0)))</f>
        <v/>
      </c>
      <c r="H48" s="58" t="str">
        <f ca="1">_xlfn.IFNA(INDEX(teams[name],MATCH(G48,teams[id],0)),"")</f>
        <v/>
      </c>
      <c r="I48" s="43"/>
      <c r="J48" s="44"/>
      <c r="K48" s="45"/>
      <c r="L48" s="42" t="b">
        <f>NOT(OR(ISBLANK($I48),ISBLANK($J48)))</f>
        <v>0</v>
      </c>
    </row>
    <row r="49" spans="1:12" ht="18" customHeight="1" x14ac:dyDescent="0.3">
      <c r="A49" s="41">
        <f t="shared" ref="A49:A67" si="4">A27+4</f>
        <v>9</v>
      </c>
      <c r="B49" s="41" t="s">
        <v>4</v>
      </c>
      <c r="C49" s="193"/>
      <c r="D49" s="62" t="str">
        <f>INDEX(fields[name],MATCH($B49,fields[field],0))</f>
        <v>Κ Ποδόσφαιρο</v>
      </c>
      <c r="E49" s="53" t="str">
        <f t="array" aca="1" ref="E49" ca="1">IF(ISBLANK($A49),"",INDEX(games[th],MATCH(1,(games[r]=$A49)*(games[field]=$B49),0)))</f>
        <v/>
      </c>
      <c r="F49" s="59" t="str">
        <f ca="1">_xlfn.IFNA(INDEX(teams[name],MATCH(E49,teams[id],0)),"")</f>
        <v/>
      </c>
      <c r="G49" s="56" t="str">
        <f t="array" aca="1" ref="G49" ca="1">IF(ISBLANK($A49),"",INDEX(games[ta],MATCH(1,(games[r]=$A49)*(games[field]=$B49),0)))</f>
        <v/>
      </c>
      <c r="H49" s="59" t="str">
        <f ca="1">_xlfn.IFNA(INDEX(teams[name],MATCH(G49,teams[id],0)),"")</f>
        <v/>
      </c>
      <c r="I49" s="46"/>
      <c r="J49" s="47"/>
      <c r="K49" s="48"/>
      <c r="L49" s="42" t="b">
        <f t="shared" ref="L49:L57" si="5">NOT(OR(ISBLANK($I49),ISBLANK($J49)))</f>
        <v>0</v>
      </c>
    </row>
    <row r="50" spans="1:12" ht="18" customHeight="1" x14ac:dyDescent="0.3">
      <c r="A50" s="41">
        <f t="shared" si="4"/>
        <v>9</v>
      </c>
      <c r="B50" s="41" t="s">
        <v>5</v>
      </c>
      <c r="C50" s="193"/>
      <c r="D50" s="62" t="str">
        <f>INDEX(fields[name],MATCH($B50,fields[field],0))</f>
        <v>Μπάσκετ</v>
      </c>
      <c r="E50" s="53" t="str">
        <f t="array" aca="1" ref="E50" ca="1">IF(ISBLANK($A50),"",INDEX(games[th],MATCH(1,(games[r]=$A50)*(games[field]=$B50),0)))</f>
        <v/>
      </c>
      <c r="F50" s="59" t="str">
        <f ca="1">_xlfn.IFNA(INDEX(teams[name],MATCH(E50,teams[id],0)),"")</f>
        <v/>
      </c>
      <c r="G50" s="56" t="str">
        <f t="array" aca="1" ref="G50" ca="1">IF(ISBLANK($A50),"",INDEX(games[ta],MATCH(1,(games[r]=$A50)*(games[field]=$B50),0)))</f>
        <v/>
      </c>
      <c r="H50" s="59" t="str">
        <f ca="1">_xlfn.IFNA(INDEX(teams[name],MATCH(G50,teams[id],0)),"")</f>
        <v/>
      </c>
      <c r="I50" s="46"/>
      <c r="J50" s="47"/>
      <c r="K50" s="48"/>
      <c r="L50" s="42" t="b">
        <f t="shared" si="5"/>
        <v>0</v>
      </c>
    </row>
    <row r="51" spans="1:12" ht="18" customHeight="1" x14ac:dyDescent="0.3">
      <c r="A51" s="41">
        <f t="shared" si="4"/>
        <v>9</v>
      </c>
      <c r="B51" s="41" t="s">
        <v>53</v>
      </c>
      <c r="C51" s="193"/>
      <c r="D51" s="62" t="str">
        <f>INDEX(fields[name],MATCH($B51,fields[field],0))</f>
        <v>Βόλεϊ</v>
      </c>
      <c r="E51" s="53" t="str">
        <f t="array" aca="1" ref="E51" ca="1">IF(ISBLANK($A51),"",INDEX(games[th],MATCH(1,(games[r]=$A51)*(games[field]=$B51),0)))</f>
        <v/>
      </c>
      <c r="F51" s="59" t="str">
        <f ca="1">_xlfn.IFNA(INDEX(teams[name],MATCH(E51,teams[id],0)),"")</f>
        <v/>
      </c>
      <c r="G51" s="56" t="str">
        <f t="array" aca="1" ref="G51" ca="1">IF(ISBLANK($A51),"",INDEX(games[ta],MATCH(1,(games[r]=$A51)*(games[field]=$B51),0)))</f>
        <v/>
      </c>
      <c r="H51" s="59" t="str">
        <f ca="1">_xlfn.IFNA(INDEX(teams[name],MATCH(G51,teams[id],0)),"")</f>
        <v/>
      </c>
      <c r="I51" s="46"/>
      <c r="J51" s="47"/>
      <c r="K51" s="48"/>
      <c r="L51" s="42" t="b">
        <f t="shared" si="5"/>
        <v>0</v>
      </c>
    </row>
    <row r="52" spans="1:12" ht="18" customHeight="1" x14ac:dyDescent="0.3">
      <c r="A52" s="41">
        <f t="shared" si="4"/>
        <v>9</v>
      </c>
      <c r="B52" s="41" t="s">
        <v>54</v>
      </c>
      <c r="C52" s="194"/>
      <c r="D52" s="79" t="str">
        <f>INDEX(fields[name],MATCH($B52,fields[field],0))</f>
        <v>Μπέιζμπολ</v>
      </c>
      <c r="E52" s="80" t="str">
        <f t="array" aca="1" ref="E52" ca="1">IF(ISBLANK($A52),"",INDEX(games[th],MATCH(1,(games[r]=$A52)*(games[field]=$B52),0)))</f>
        <v/>
      </c>
      <c r="F52" s="81" t="str">
        <f ca="1">_xlfn.IFNA(INDEX(teams[name],MATCH(E52,teams[id],0)),"")</f>
        <v/>
      </c>
      <c r="G52" s="82" t="str">
        <f t="array" aca="1" ref="G52" ca="1">IF(ISBLANK($A52),"",INDEX(games[ta],MATCH(1,(games[r]=$A52)*(games[field]=$B52),0)))</f>
        <v/>
      </c>
      <c r="H52" s="81" t="str">
        <f ca="1">_xlfn.IFNA(INDEX(teams[name],MATCH(G52,teams[id],0)),"")</f>
        <v/>
      </c>
      <c r="I52" s="83"/>
      <c r="J52" s="84"/>
      <c r="K52" s="85"/>
      <c r="L52" s="42" t="b">
        <f t="shared" si="5"/>
        <v>0</v>
      </c>
    </row>
    <row r="53" spans="1:12" ht="18" customHeight="1" x14ac:dyDescent="0.3">
      <c r="A53" s="41">
        <f t="shared" si="4"/>
        <v>10</v>
      </c>
      <c r="B53" s="41" t="s">
        <v>3</v>
      </c>
      <c r="C53" s="195" t="s">
        <v>49</v>
      </c>
      <c r="D53" s="72" t="str">
        <f>INDEX(fields[name],MATCH($B53,fields[field],0))</f>
        <v>Π Ποδόσφαιρο</v>
      </c>
      <c r="E53" s="73" t="str">
        <f t="array" aca="1" ref="E53" ca="1">IF(ISBLANK($A53),"",INDEX(games[th],MATCH(1,(games[r]=$A53)*(games[field]=$B53),0)))</f>
        <v/>
      </c>
      <c r="F53" s="74" t="str">
        <f ca="1">_xlfn.IFNA(INDEX(teams[name],MATCH(E53,teams[id],0)),"")</f>
        <v/>
      </c>
      <c r="G53" s="75" t="str">
        <f t="array" aca="1" ref="G53" ca="1">IF(ISBLANK($A53),"",INDEX(games[ta],MATCH(1,(games[r]=$A53)*(games[field]=$B53),0)))</f>
        <v/>
      </c>
      <c r="H53" s="74" t="str">
        <f ca="1">_xlfn.IFNA(INDEX(teams[name],MATCH(G53,teams[id],0)),"")</f>
        <v/>
      </c>
      <c r="I53" s="76"/>
      <c r="J53" s="77"/>
      <c r="K53" s="78"/>
      <c r="L53" s="42" t="b">
        <f t="shared" si="5"/>
        <v>0</v>
      </c>
    </row>
    <row r="54" spans="1:12" ht="18" customHeight="1" x14ac:dyDescent="0.3">
      <c r="A54" s="41">
        <f t="shared" si="4"/>
        <v>10</v>
      </c>
      <c r="B54" s="41" t="s">
        <v>4</v>
      </c>
      <c r="C54" s="193"/>
      <c r="D54" s="62" t="str">
        <f>INDEX(fields[name],MATCH($B54,fields[field],0))</f>
        <v>Κ Ποδόσφαιρο</v>
      </c>
      <c r="E54" s="53" t="str">
        <f t="array" aca="1" ref="E54" ca="1">IF(ISBLANK($A54),"",INDEX(games[th],MATCH(1,(games[r]=$A54)*(games[field]=$B54),0)))</f>
        <v/>
      </c>
      <c r="F54" s="59" t="str">
        <f ca="1">_xlfn.IFNA(INDEX(teams[name],MATCH(E54,teams[id],0)),"")</f>
        <v/>
      </c>
      <c r="G54" s="56" t="str">
        <f t="array" aca="1" ref="G54" ca="1">IF(ISBLANK($A54),"",INDEX(games[ta],MATCH(1,(games[r]=$A54)*(games[field]=$B54),0)))</f>
        <v/>
      </c>
      <c r="H54" s="59" t="str">
        <f ca="1">_xlfn.IFNA(INDEX(teams[name],MATCH(G54,teams[id],0)),"")</f>
        <v/>
      </c>
      <c r="I54" s="46"/>
      <c r="J54" s="47"/>
      <c r="K54" s="48"/>
      <c r="L54" s="42" t="b">
        <f t="shared" si="5"/>
        <v>0</v>
      </c>
    </row>
    <row r="55" spans="1:12" ht="18" customHeight="1" x14ac:dyDescent="0.3">
      <c r="A55" s="41">
        <f t="shared" si="4"/>
        <v>10</v>
      </c>
      <c r="B55" s="41" t="s">
        <v>5</v>
      </c>
      <c r="C55" s="193"/>
      <c r="D55" s="62" t="str">
        <f>INDEX(fields[name],MATCH($B55,fields[field],0))</f>
        <v>Μπάσκετ</v>
      </c>
      <c r="E55" s="53" t="str">
        <f t="array" aca="1" ref="E55" ca="1">IF(ISBLANK($A55),"",INDEX(games[th],MATCH(1,(games[r]=$A55)*(games[field]=$B55),0)))</f>
        <v/>
      </c>
      <c r="F55" s="59" t="str">
        <f ca="1">_xlfn.IFNA(INDEX(teams[name],MATCH(E55,teams[id],0)),"")</f>
        <v/>
      </c>
      <c r="G55" s="56" t="str">
        <f t="array" aca="1" ref="G55" ca="1">IF(ISBLANK($A55),"",INDEX(games[ta],MATCH(1,(games[r]=$A55)*(games[field]=$B55),0)))</f>
        <v/>
      </c>
      <c r="H55" s="59" t="str">
        <f ca="1">_xlfn.IFNA(INDEX(teams[name],MATCH(G55,teams[id],0)),"")</f>
        <v/>
      </c>
      <c r="I55" s="46"/>
      <c r="J55" s="47"/>
      <c r="K55" s="48"/>
      <c r="L55" s="42" t="b">
        <f t="shared" si="5"/>
        <v>0</v>
      </c>
    </row>
    <row r="56" spans="1:12" ht="18" customHeight="1" x14ac:dyDescent="0.3">
      <c r="A56" s="41">
        <f t="shared" si="4"/>
        <v>10</v>
      </c>
      <c r="B56" s="41" t="s">
        <v>53</v>
      </c>
      <c r="C56" s="196"/>
      <c r="D56" s="65" t="str">
        <f>INDEX(fields[name],MATCH($B56,fields[field],0))</f>
        <v>Βόλεϊ</v>
      </c>
      <c r="E56" s="66" t="str">
        <f t="array" aca="1" ref="E56" ca="1">IF(ISBLANK($A56),"",INDEX(games[th],MATCH(1,(games[r]=$A56)*(games[field]=$B56),0)))</f>
        <v/>
      </c>
      <c r="F56" s="67" t="str">
        <f ca="1">_xlfn.IFNA(INDEX(teams[name],MATCH(E56,teams[id],0)),"")</f>
        <v/>
      </c>
      <c r="G56" s="68" t="str">
        <f t="array" aca="1" ref="G56" ca="1">IF(ISBLANK($A56),"",INDEX(games[ta],MATCH(1,(games[r]=$A56)*(games[field]=$B56),0)))</f>
        <v/>
      </c>
      <c r="H56" s="67" t="str">
        <f ca="1">_xlfn.IFNA(INDEX(teams[name],MATCH(G56,teams[id],0)),"")</f>
        <v/>
      </c>
      <c r="I56" s="69"/>
      <c r="J56" s="70"/>
      <c r="K56" s="71"/>
      <c r="L56" s="42" t="b">
        <f t="shared" si="5"/>
        <v>0</v>
      </c>
    </row>
    <row r="57" spans="1:12" ht="18" customHeight="1" thickBot="1" x14ac:dyDescent="0.35">
      <c r="A57" s="41">
        <f t="shared" si="4"/>
        <v>10</v>
      </c>
      <c r="B57" s="41" t="s">
        <v>54</v>
      </c>
      <c r="C57" s="197"/>
      <c r="D57" s="63" t="str">
        <f>INDEX(fields[name],MATCH($B57,fields[field],0))</f>
        <v>Μπέιζμπολ</v>
      </c>
      <c r="E57" s="54" t="str">
        <f t="array" aca="1" ref="E57" ca="1">IF(ISBLANK($A57),"",INDEX(games[th],MATCH(1,(games[r]=$A57)*(games[field]=$B57),0)))</f>
        <v/>
      </c>
      <c r="F57" s="60" t="str">
        <f ca="1">_xlfn.IFNA(INDEX(teams[name],MATCH(E57,teams[id],0)),"")</f>
        <v/>
      </c>
      <c r="G57" s="57" t="str">
        <f t="array" aca="1" ref="G57" ca="1">IF(ISBLANK($A57),"",INDEX(games[ta],MATCH(1,(games[r]=$A57)*(games[field]=$B57),0)))</f>
        <v/>
      </c>
      <c r="H57" s="60" t="str">
        <f ca="1">_xlfn.IFNA(INDEX(teams[name],MATCH(G57,teams[id],0)),"")</f>
        <v/>
      </c>
      <c r="I57" s="49"/>
      <c r="J57" s="50"/>
      <c r="K57" s="51"/>
      <c r="L57" s="42" t="b">
        <f t="shared" si="5"/>
        <v>0</v>
      </c>
    </row>
    <row r="58" spans="1:12" ht="18" customHeight="1" thickTop="1" x14ac:dyDescent="0.3">
      <c r="A58" s="41">
        <f t="shared" si="4"/>
        <v>11</v>
      </c>
      <c r="B58" s="41" t="s">
        <v>3</v>
      </c>
      <c r="C58" s="192" t="s">
        <v>50</v>
      </c>
      <c r="D58" s="61" t="str">
        <f>INDEX(fields[name],MATCH($B58,fields[field],0))</f>
        <v>Π Ποδόσφαιρο</v>
      </c>
      <c r="E58" s="52" t="str">
        <f t="array" aca="1" ref="E58" ca="1">IF(ISBLANK($A58),"",INDEX(games[th],MATCH(1,(games[r]=$A58)*(games[field]=$B58),0)))</f>
        <v/>
      </c>
      <c r="F58" s="58" t="str">
        <f ca="1">_xlfn.IFNA(INDEX(teams[name],MATCH(E58,teams[id],0)),"")</f>
        <v/>
      </c>
      <c r="G58" s="55" t="str">
        <f t="array" aca="1" ref="G58" ca="1">IF(ISBLANK($A58),"",INDEX(games[ta],MATCH(1,(games[r]=$A58)*(games[field]=$B58),0)))</f>
        <v/>
      </c>
      <c r="H58" s="58" t="str">
        <f ca="1">_xlfn.IFNA(INDEX(teams[name],MATCH(G58,teams[id],0)),"")</f>
        <v/>
      </c>
      <c r="I58" s="43"/>
      <c r="J58" s="44"/>
      <c r="K58" s="45"/>
      <c r="L58" s="42" t="b">
        <f>NOT(OR(ISBLANK($I58),ISBLANK($J58)))</f>
        <v>0</v>
      </c>
    </row>
    <row r="59" spans="1:12" ht="18" customHeight="1" x14ac:dyDescent="0.3">
      <c r="A59" s="41">
        <f t="shared" si="4"/>
        <v>11</v>
      </c>
      <c r="B59" s="41" t="s">
        <v>4</v>
      </c>
      <c r="C59" s="193"/>
      <c r="D59" s="62" t="str">
        <f>INDEX(fields[name],MATCH($B59,fields[field],0))</f>
        <v>Κ Ποδόσφαιρο</v>
      </c>
      <c r="E59" s="53" t="str">
        <f t="array" aca="1" ref="E59" ca="1">IF(ISBLANK($A59),"",INDEX(games[th],MATCH(1,(games[r]=$A59)*(games[field]=$B59),0)))</f>
        <v/>
      </c>
      <c r="F59" s="59" t="str">
        <f ca="1">_xlfn.IFNA(INDEX(teams[name],MATCH(E59,teams[id],0)),"")</f>
        <v/>
      </c>
      <c r="G59" s="56" t="str">
        <f t="array" aca="1" ref="G59" ca="1">IF(ISBLANK($A59),"",INDEX(games[ta],MATCH(1,(games[r]=$A59)*(games[field]=$B59),0)))</f>
        <v/>
      </c>
      <c r="H59" s="59" t="str">
        <f ca="1">_xlfn.IFNA(INDEX(teams[name],MATCH(G59,teams[id],0)),"")</f>
        <v/>
      </c>
      <c r="I59" s="46"/>
      <c r="J59" s="47"/>
      <c r="K59" s="48"/>
      <c r="L59" s="42" t="b">
        <f t="shared" ref="L59:L64" si="6">NOT(OR(ISBLANK($I59),ISBLANK($J59)))</f>
        <v>0</v>
      </c>
    </row>
    <row r="60" spans="1:12" ht="18" customHeight="1" x14ac:dyDescent="0.3">
      <c r="A60" s="41">
        <f t="shared" si="4"/>
        <v>11</v>
      </c>
      <c r="B60" s="41" t="s">
        <v>5</v>
      </c>
      <c r="C60" s="193"/>
      <c r="D60" s="62" t="str">
        <f>INDEX(fields[name],MATCH($B60,fields[field],0))</f>
        <v>Μπάσκετ</v>
      </c>
      <c r="E60" s="53" t="str">
        <f t="array" aca="1" ref="E60" ca="1">IF(ISBLANK($A60),"",INDEX(games[th],MATCH(1,(games[r]=$A60)*(games[field]=$B60),0)))</f>
        <v/>
      </c>
      <c r="F60" s="59" t="str">
        <f ca="1">_xlfn.IFNA(INDEX(teams[name],MATCH(E60,teams[id],0)),"")</f>
        <v/>
      </c>
      <c r="G60" s="56" t="str">
        <f t="array" aca="1" ref="G60" ca="1">IF(ISBLANK($A60),"",INDEX(games[ta],MATCH(1,(games[r]=$A60)*(games[field]=$B60),0)))</f>
        <v/>
      </c>
      <c r="H60" s="59" t="str">
        <f ca="1">_xlfn.IFNA(INDEX(teams[name],MATCH(G60,teams[id],0)),"")</f>
        <v/>
      </c>
      <c r="I60" s="46"/>
      <c r="J60" s="47"/>
      <c r="K60" s="48"/>
      <c r="L60" s="42" t="b">
        <f t="shared" si="6"/>
        <v>0</v>
      </c>
    </row>
    <row r="61" spans="1:12" ht="18" customHeight="1" x14ac:dyDescent="0.3">
      <c r="A61" s="41">
        <f t="shared" si="4"/>
        <v>11</v>
      </c>
      <c r="B61" s="41" t="s">
        <v>53</v>
      </c>
      <c r="C61" s="193"/>
      <c r="D61" s="62" t="str">
        <f>INDEX(fields[name],MATCH($B61,fields[field],0))</f>
        <v>Βόλεϊ</v>
      </c>
      <c r="E61" s="53" t="str">
        <f t="array" aca="1" ref="E61" ca="1">IF(ISBLANK($A61),"",INDEX(games[th],MATCH(1,(games[r]=$A61)*(games[field]=$B61),0)))</f>
        <v/>
      </c>
      <c r="F61" s="59" t="str">
        <f ca="1">_xlfn.IFNA(INDEX(teams[name],MATCH(E61,teams[id],0)),"")</f>
        <v/>
      </c>
      <c r="G61" s="56" t="str">
        <f t="array" aca="1" ref="G61" ca="1">IF(ISBLANK($A61),"",INDEX(games[ta],MATCH(1,(games[r]=$A61)*(games[field]=$B61),0)))</f>
        <v/>
      </c>
      <c r="H61" s="59" t="str">
        <f ca="1">_xlfn.IFNA(INDEX(teams[name],MATCH(G61,teams[id],0)),"")</f>
        <v/>
      </c>
      <c r="I61" s="46"/>
      <c r="J61" s="47"/>
      <c r="K61" s="48"/>
      <c r="L61" s="42" t="b">
        <f t="shared" si="6"/>
        <v>0</v>
      </c>
    </row>
    <row r="62" spans="1:12" ht="18" customHeight="1" x14ac:dyDescent="0.3">
      <c r="A62" s="41">
        <f t="shared" si="4"/>
        <v>11</v>
      </c>
      <c r="B62" s="41" t="s">
        <v>54</v>
      </c>
      <c r="C62" s="194"/>
      <c r="D62" s="79" t="str">
        <f>INDEX(fields[name],MATCH($B62,fields[field],0))</f>
        <v>Μπέιζμπολ</v>
      </c>
      <c r="E62" s="80" t="str">
        <f t="array" aca="1" ref="E62" ca="1">IF(ISBLANK($A62),"",INDEX(games[th],MATCH(1,(games[r]=$A62)*(games[field]=$B62),0)))</f>
        <v/>
      </c>
      <c r="F62" s="81" t="str">
        <f ca="1">_xlfn.IFNA(INDEX(teams[name],MATCH(E62,teams[id],0)),"")</f>
        <v/>
      </c>
      <c r="G62" s="82" t="str">
        <f t="array" aca="1" ref="G62" ca="1">IF(ISBLANK($A62),"",INDEX(games[ta],MATCH(1,(games[r]=$A62)*(games[field]=$B62),0)))</f>
        <v/>
      </c>
      <c r="H62" s="81" t="str">
        <f ca="1">_xlfn.IFNA(INDEX(teams[name],MATCH(G62,teams[id],0)),"")</f>
        <v/>
      </c>
      <c r="I62" s="83"/>
      <c r="J62" s="84"/>
      <c r="K62" s="85"/>
      <c r="L62" s="42" t="b">
        <f t="shared" si="6"/>
        <v>0</v>
      </c>
    </row>
    <row r="63" spans="1:12" ht="18" customHeight="1" x14ac:dyDescent="0.3">
      <c r="A63" s="41">
        <f t="shared" si="4"/>
        <v>12</v>
      </c>
      <c r="B63" s="41" t="s">
        <v>3</v>
      </c>
      <c r="C63" s="195" t="s">
        <v>51</v>
      </c>
      <c r="D63" s="72" t="str">
        <f>INDEX(fields[name],MATCH($B63,fields[field],0))</f>
        <v>Π Ποδόσφαιρο</v>
      </c>
      <c r="E63" s="73" t="str">
        <f t="array" aca="1" ref="E63" ca="1">IF(ISBLANK($A63),"",INDEX(games[th],MATCH(1,(games[r]=$A63)*(games[field]=$B63),0)))</f>
        <v/>
      </c>
      <c r="F63" s="74" t="str">
        <f ca="1">_xlfn.IFNA(INDEX(teams[name],MATCH(E63,teams[id],0)),"")</f>
        <v/>
      </c>
      <c r="G63" s="75" t="str">
        <f t="array" aca="1" ref="G63" ca="1">IF(ISBLANK($A63),"",INDEX(games[ta],MATCH(1,(games[r]=$A63)*(games[field]=$B63),0)))</f>
        <v/>
      </c>
      <c r="H63" s="74" t="str">
        <f ca="1">_xlfn.IFNA(INDEX(teams[name],MATCH(G63,teams[id],0)),"")</f>
        <v/>
      </c>
      <c r="I63" s="76"/>
      <c r="J63" s="77"/>
      <c r="K63" s="78"/>
      <c r="L63" s="42" t="b">
        <f t="shared" si="6"/>
        <v>0</v>
      </c>
    </row>
    <row r="64" spans="1:12" ht="18" customHeight="1" x14ac:dyDescent="0.3">
      <c r="A64" s="41">
        <f t="shared" si="4"/>
        <v>12</v>
      </c>
      <c r="B64" s="41" t="s">
        <v>4</v>
      </c>
      <c r="C64" s="193"/>
      <c r="D64" s="62" t="str">
        <f>INDEX(fields[name],MATCH($B64,fields[field],0))</f>
        <v>Κ Ποδόσφαιρο</v>
      </c>
      <c r="E64" s="53" t="str">
        <f t="array" aca="1" ref="E64" ca="1">IF(ISBLANK($A64),"",INDEX(games[th],MATCH(1,(games[r]=$A64)*(games[field]=$B64),0)))</f>
        <v/>
      </c>
      <c r="F64" s="59" t="str">
        <f ca="1">_xlfn.IFNA(INDEX(teams[name],MATCH(E64,teams[id],0)),"")</f>
        <v/>
      </c>
      <c r="G64" s="56" t="str">
        <f t="array" aca="1" ref="G64" ca="1">IF(ISBLANK($A64),"",INDEX(games[ta],MATCH(1,(games[r]=$A64)*(games[field]=$B64),0)))</f>
        <v/>
      </c>
      <c r="H64" s="59" t="str">
        <f ca="1">_xlfn.IFNA(INDEX(teams[name],MATCH(G64,teams[id],0)),"")</f>
        <v/>
      </c>
      <c r="I64" s="46"/>
      <c r="J64" s="47"/>
      <c r="K64" s="48"/>
      <c r="L64" s="42" t="b">
        <f t="shared" si="6"/>
        <v>0</v>
      </c>
    </row>
    <row r="65" spans="1:12" ht="18" customHeight="1" x14ac:dyDescent="0.3">
      <c r="A65" s="41">
        <f t="shared" si="4"/>
        <v>12</v>
      </c>
      <c r="B65" s="41" t="s">
        <v>5</v>
      </c>
      <c r="C65" s="193"/>
      <c r="D65" s="62" t="str">
        <f>INDEX(fields[name],MATCH($B65,fields[field],0))</f>
        <v>Μπάσκετ</v>
      </c>
      <c r="E65" s="53" t="str">
        <f t="array" aca="1" ref="E65" ca="1">IF(ISBLANK($A65),"",INDEX(games[th],MATCH(1,(games[r]=$A65)*(games[field]=$B65),0)))</f>
        <v/>
      </c>
      <c r="F65" s="59" t="str">
        <f ca="1">_xlfn.IFNA(INDEX(teams[name],MATCH(E65,teams[id],0)),"")</f>
        <v/>
      </c>
      <c r="G65" s="56" t="str">
        <f t="array" aca="1" ref="G65" ca="1">IF(ISBLANK($A65),"",INDEX(games[ta],MATCH(1,(games[r]=$A65)*(games[field]=$B65),0)))</f>
        <v/>
      </c>
      <c r="H65" s="59" t="str">
        <f ca="1">_xlfn.IFNA(INDEX(teams[name],MATCH(G65,teams[id],0)),"")</f>
        <v/>
      </c>
      <c r="I65" s="46"/>
      <c r="J65" s="47"/>
      <c r="K65" s="48"/>
      <c r="L65" s="42" t="b">
        <f>NOT(OR(ISBLANK($I65),ISBLANK($J65)))</f>
        <v>0</v>
      </c>
    </row>
    <row r="66" spans="1:12" ht="18" customHeight="1" x14ac:dyDescent="0.3">
      <c r="A66" s="41">
        <f t="shared" si="4"/>
        <v>12</v>
      </c>
      <c r="B66" s="41" t="s">
        <v>53</v>
      </c>
      <c r="C66" s="196"/>
      <c r="D66" s="65" t="str">
        <f>INDEX(fields[name],MATCH($B66,fields[field],0))</f>
        <v>Βόλεϊ</v>
      </c>
      <c r="E66" s="66" t="str">
        <f t="array" aca="1" ref="E66" ca="1">IF(ISBLANK($A66),"",INDEX(games[th],MATCH(1,(games[r]=$A66)*(games[field]=$B66),0)))</f>
        <v/>
      </c>
      <c r="F66" s="67" t="str">
        <f ca="1">_xlfn.IFNA(INDEX(teams[name],MATCH(E66,teams[id],0)),"")</f>
        <v/>
      </c>
      <c r="G66" s="68" t="str">
        <f t="array" aca="1" ref="G66" ca="1">IF(ISBLANK($A66),"",INDEX(games[ta],MATCH(1,(games[r]=$A66)*(games[field]=$B66),0)))</f>
        <v/>
      </c>
      <c r="H66" s="67" t="str">
        <f ca="1">_xlfn.IFNA(INDEX(teams[name],MATCH(G66,teams[id],0)),"")</f>
        <v/>
      </c>
      <c r="I66" s="69"/>
      <c r="J66" s="70"/>
      <c r="K66" s="71"/>
      <c r="L66" s="42" t="b">
        <f>NOT(OR(ISBLANK($I66),ISBLANK($J66)))</f>
        <v>0</v>
      </c>
    </row>
    <row r="67" spans="1:12" ht="18" customHeight="1" thickBot="1" x14ac:dyDescent="0.35">
      <c r="A67" s="41">
        <f t="shared" si="4"/>
        <v>12</v>
      </c>
      <c r="B67" s="41" t="s">
        <v>54</v>
      </c>
      <c r="C67" s="198"/>
      <c r="D67" s="64" t="str">
        <f>INDEX(fields[name],MATCH($B67,fields[field],0))</f>
        <v>Μπέιζμπολ</v>
      </c>
      <c r="E67" s="54" t="str">
        <f t="array" aca="1" ref="E67" ca="1">IF(ISBLANK($A67),"",INDEX(games[th],MATCH(1,(games[r]=$A67)*(games[field]=$B67),0)))</f>
        <v/>
      </c>
      <c r="F67" s="60" t="str">
        <f ca="1">_xlfn.IFNA(INDEX(teams[name],MATCH(E67,teams[id],0)),"")</f>
        <v/>
      </c>
      <c r="G67" s="57" t="str">
        <f t="array" aca="1" ref="G67" ca="1">IF(ISBLANK($A67),"",INDEX(games[ta],MATCH(1,(games[r]=$A67)*(games[field]=$B67),0)))</f>
        <v/>
      </c>
      <c r="H67" s="60" t="str">
        <f ca="1">_xlfn.IFNA(INDEX(teams[name],MATCH(G67,teams[id],0)),"")</f>
        <v/>
      </c>
      <c r="I67" s="88"/>
      <c r="J67" s="89"/>
      <c r="K67" s="90"/>
      <c r="L67" s="42" t="b">
        <f>NOT(OR(ISBLANK($I67),ISBLANK($J67)))</f>
        <v>0</v>
      </c>
    </row>
    <row r="68" spans="1:12" ht="18" customHeight="1" thickBot="1" x14ac:dyDescent="0.35"/>
    <row r="69" spans="1:12" ht="18" customHeight="1" thickBot="1" x14ac:dyDescent="0.35">
      <c r="C69" s="189">
        <f>C47+1</f>
        <v>46247</v>
      </c>
      <c r="D69" s="190"/>
      <c r="E69" s="190"/>
      <c r="F69" s="190"/>
      <c r="G69" s="190"/>
      <c r="H69" s="190"/>
      <c r="I69" s="190"/>
      <c r="J69" s="190"/>
      <c r="K69" s="191"/>
    </row>
    <row r="70" spans="1:12" ht="18" customHeight="1" thickTop="1" x14ac:dyDescent="0.3">
      <c r="A70" s="41">
        <f>A48+4</f>
        <v>13</v>
      </c>
      <c r="B70" s="41" t="s">
        <v>3</v>
      </c>
      <c r="C70" s="192" t="s">
        <v>48</v>
      </c>
      <c r="D70" s="61" t="str">
        <f>INDEX(fields[name],MATCH($B70,fields[field],0))</f>
        <v>Π Ποδόσφαιρο</v>
      </c>
      <c r="E70" s="52" t="str">
        <f t="array" aca="1" ref="E70" ca="1">IF(ISBLANK($A70),"",INDEX(games[th],MATCH(1,(games[r]=$A70)*(games[field]=$B70),0)))</f>
        <v/>
      </c>
      <c r="F70" s="58" t="str">
        <f ca="1">_xlfn.IFNA(INDEX(teams[name],MATCH(E70,teams[id],0)),"")</f>
        <v/>
      </c>
      <c r="G70" s="55" t="str">
        <f t="array" aca="1" ref="G70" ca="1">IF(ISBLANK($A70),"",INDEX(games[ta],MATCH(1,(games[r]=$A70)*(games[field]=$B70),0)))</f>
        <v/>
      </c>
      <c r="H70" s="58" t="str">
        <f ca="1">_xlfn.IFNA(INDEX(teams[name],MATCH(G70,teams[id],0)),"")</f>
        <v/>
      </c>
      <c r="I70" s="43"/>
      <c r="J70" s="44"/>
      <c r="K70" s="45"/>
      <c r="L70" s="42" t="b">
        <f>NOT(OR(ISBLANK($I70),ISBLANK($J70)))</f>
        <v>0</v>
      </c>
    </row>
    <row r="71" spans="1:12" ht="18" customHeight="1" x14ac:dyDescent="0.3">
      <c r="A71" s="41">
        <f t="shared" ref="A71:A89" si="7">A49+4</f>
        <v>13</v>
      </c>
      <c r="B71" s="41" t="s">
        <v>4</v>
      </c>
      <c r="C71" s="193"/>
      <c r="D71" s="62" t="str">
        <f>INDEX(fields[name],MATCH($B71,fields[field],0))</f>
        <v>Κ Ποδόσφαιρο</v>
      </c>
      <c r="E71" s="53" t="str">
        <f t="array" aca="1" ref="E71" ca="1">IF(ISBLANK($A71),"",INDEX(games[th],MATCH(1,(games[r]=$A71)*(games[field]=$B71),0)))</f>
        <v/>
      </c>
      <c r="F71" s="59" t="str">
        <f ca="1">_xlfn.IFNA(INDEX(teams[name],MATCH(E71,teams[id],0)),"")</f>
        <v/>
      </c>
      <c r="G71" s="56" t="str">
        <f t="array" aca="1" ref="G71" ca="1">IF(ISBLANK($A71),"",INDEX(games[ta],MATCH(1,(games[r]=$A71)*(games[field]=$B71),0)))</f>
        <v/>
      </c>
      <c r="H71" s="59" t="str">
        <f ca="1">_xlfn.IFNA(INDEX(teams[name],MATCH(G71,teams[id],0)),"")</f>
        <v/>
      </c>
      <c r="I71" s="46"/>
      <c r="J71" s="47"/>
      <c r="K71" s="48"/>
      <c r="L71" s="42" t="b">
        <f t="shared" ref="L71:L79" si="8">NOT(OR(ISBLANK($I71),ISBLANK($J71)))</f>
        <v>0</v>
      </c>
    </row>
    <row r="72" spans="1:12" ht="18" customHeight="1" x14ac:dyDescent="0.3">
      <c r="A72" s="41">
        <f t="shared" si="7"/>
        <v>13</v>
      </c>
      <c r="B72" s="41" t="s">
        <v>5</v>
      </c>
      <c r="C72" s="193"/>
      <c r="D72" s="62" t="str">
        <f>INDEX(fields[name],MATCH($B72,fields[field],0))</f>
        <v>Μπάσκετ</v>
      </c>
      <c r="E72" s="53" t="str">
        <f t="array" aca="1" ref="E72" ca="1">IF(ISBLANK($A72),"",INDEX(games[th],MATCH(1,(games[r]=$A72)*(games[field]=$B72),0)))</f>
        <v/>
      </c>
      <c r="F72" s="59" t="str">
        <f ca="1">_xlfn.IFNA(INDEX(teams[name],MATCH(E72,teams[id],0)),"")</f>
        <v/>
      </c>
      <c r="G72" s="56" t="str">
        <f t="array" aca="1" ref="G72" ca="1">IF(ISBLANK($A72),"",INDEX(games[ta],MATCH(1,(games[r]=$A72)*(games[field]=$B72),0)))</f>
        <v/>
      </c>
      <c r="H72" s="59" t="str">
        <f ca="1">_xlfn.IFNA(INDEX(teams[name],MATCH(G72,teams[id],0)),"")</f>
        <v/>
      </c>
      <c r="I72" s="46"/>
      <c r="J72" s="47"/>
      <c r="K72" s="48"/>
      <c r="L72" s="42" t="b">
        <f t="shared" si="8"/>
        <v>0</v>
      </c>
    </row>
    <row r="73" spans="1:12" ht="18" customHeight="1" x14ac:dyDescent="0.3">
      <c r="A73" s="41">
        <f t="shared" si="7"/>
        <v>13</v>
      </c>
      <c r="B73" s="41" t="s">
        <v>53</v>
      </c>
      <c r="C73" s="193"/>
      <c r="D73" s="62" t="str">
        <f>INDEX(fields[name],MATCH($B73,fields[field],0))</f>
        <v>Βόλεϊ</v>
      </c>
      <c r="E73" s="53" t="str">
        <f t="array" aca="1" ref="E73" ca="1">IF(ISBLANK($A73),"",INDEX(games[th],MATCH(1,(games[r]=$A73)*(games[field]=$B73),0)))</f>
        <v/>
      </c>
      <c r="F73" s="59" t="str">
        <f ca="1">_xlfn.IFNA(INDEX(teams[name],MATCH(E73,teams[id],0)),"")</f>
        <v/>
      </c>
      <c r="G73" s="56" t="str">
        <f t="array" aca="1" ref="G73" ca="1">IF(ISBLANK($A73),"",INDEX(games[ta],MATCH(1,(games[r]=$A73)*(games[field]=$B73),0)))</f>
        <v/>
      </c>
      <c r="H73" s="59" t="str">
        <f ca="1">_xlfn.IFNA(INDEX(teams[name],MATCH(G73,teams[id],0)),"")</f>
        <v/>
      </c>
      <c r="I73" s="46"/>
      <c r="J73" s="47"/>
      <c r="K73" s="48"/>
      <c r="L73" s="42" t="b">
        <f t="shared" si="8"/>
        <v>0</v>
      </c>
    </row>
    <row r="74" spans="1:12" ht="18" customHeight="1" x14ac:dyDescent="0.3">
      <c r="A74" s="41">
        <f t="shared" si="7"/>
        <v>13</v>
      </c>
      <c r="B74" s="41" t="s">
        <v>54</v>
      </c>
      <c r="C74" s="194"/>
      <c r="D74" s="79" t="str">
        <f>INDEX(fields[name],MATCH($B74,fields[field],0))</f>
        <v>Μπέιζμπολ</v>
      </c>
      <c r="E74" s="80" t="str">
        <f t="array" aca="1" ref="E74" ca="1">IF(ISBLANK($A74),"",INDEX(games[th],MATCH(1,(games[r]=$A74)*(games[field]=$B74),0)))</f>
        <v/>
      </c>
      <c r="F74" s="81" t="str">
        <f ca="1">_xlfn.IFNA(INDEX(teams[name],MATCH(E74,teams[id],0)),"")</f>
        <v/>
      </c>
      <c r="G74" s="82" t="str">
        <f t="array" aca="1" ref="G74" ca="1">IF(ISBLANK($A74),"",INDEX(games[ta],MATCH(1,(games[r]=$A74)*(games[field]=$B74),0)))</f>
        <v/>
      </c>
      <c r="H74" s="81" t="str">
        <f ca="1">_xlfn.IFNA(INDEX(teams[name],MATCH(G74,teams[id],0)),"")</f>
        <v/>
      </c>
      <c r="I74" s="83"/>
      <c r="J74" s="84"/>
      <c r="K74" s="85"/>
      <c r="L74" s="42" t="b">
        <f t="shared" si="8"/>
        <v>0</v>
      </c>
    </row>
    <row r="75" spans="1:12" ht="18" customHeight="1" x14ac:dyDescent="0.3">
      <c r="A75" s="41">
        <f t="shared" si="7"/>
        <v>14</v>
      </c>
      <c r="B75" s="41" t="s">
        <v>3</v>
      </c>
      <c r="C75" s="195" t="s">
        <v>49</v>
      </c>
      <c r="D75" s="72" t="str">
        <f>INDEX(fields[name],MATCH($B75,fields[field],0))</f>
        <v>Π Ποδόσφαιρο</v>
      </c>
      <c r="E75" s="73" t="str">
        <f t="array" aca="1" ref="E75" ca="1">IF(ISBLANK($A75),"",INDEX(games[th],MATCH(1,(games[r]=$A75)*(games[field]=$B75),0)))</f>
        <v/>
      </c>
      <c r="F75" s="74" t="str">
        <f ca="1">_xlfn.IFNA(INDEX(teams[name],MATCH(E75,teams[id],0)),"")</f>
        <v/>
      </c>
      <c r="G75" s="75" t="str">
        <f t="array" aca="1" ref="G75" ca="1">IF(ISBLANK($A75),"",INDEX(games[ta],MATCH(1,(games[r]=$A75)*(games[field]=$B75),0)))</f>
        <v/>
      </c>
      <c r="H75" s="74" t="str">
        <f ca="1">_xlfn.IFNA(INDEX(teams[name],MATCH(G75,teams[id],0)),"")</f>
        <v/>
      </c>
      <c r="I75" s="76"/>
      <c r="J75" s="77"/>
      <c r="K75" s="78"/>
      <c r="L75" s="42" t="b">
        <f t="shared" si="8"/>
        <v>0</v>
      </c>
    </row>
    <row r="76" spans="1:12" ht="18" customHeight="1" x14ac:dyDescent="0.3">
      <c r="A76" s="41">
        <f t="shared" si="7"/>
        <v>14</v>
      </c>
      <c r="B76" s="41" t="s">
        <v>4</v>
      </c>
      <c r="C76" s="193"/>
      <c r="D76" s="62" t="str">
        <f>INDEX(fields[name],MATCH($B76,fields[field],0))</f>
        <v>Κ Ποδόσφαιρο</v>
      </c>
      <c r="E76" s="53" t="str">
        <f t="array" aca="1" ref="E76" ca="1">IF(ISBLANK($A76),"",INDEX(games[th],MATCH(1,(games[r]=$A76)*(games[field]=$B76),0)))</f>
        <v/>
      </c>
      <c r="F76" s="59" t="str">
        <f ca="1">_xlfn.IFNA(INDEX(teams[name],MATCH(E76,teams[id],0)),"")</f>
        <v/>
      </c>
      <c r="G76" s="56" t="str">
        <f t="array" aca="1" ref="G76" ca="1">IF(ISBLANK($A76),"",INDEX(games[ta],MATCH(1,(games[r]=$A76)*(games[field]=$B76),0)))</f>
        <v/>
      </c>
      <c r="H76" s="59" t="str">
        <f ca="1">_xlfn.IFNA(INDEX(teams[name],MATCH(G76,teams[id],0)),"")</f>
        <v/>
      </c>
      <c r="I76" s="46"/>
      <c r="J76" s="47"/>
      <c r="K76" s="48"/>
      <c r="L76" s="42" t="b">
        <f t="shared" si="8"/>
        <v>0</v>
      </c>
    </row>
    <row r="77" spans="1:12" ht="18" customHeight="1" x14ac:dyDescent="0.3">
      <c r="A77" s="41">
        <f t="shared" si="7"/>
        <v>14</v>
      </c>
      <c r="B77" s="41" t="s">
        <v>5</v>
      </c>
      <c r="C77" s="193"/>
      <c r="D77" s="62" t="str">
        <f>INDEX(fields[name],MATCH($B77,fields[field],0))</f>
        <v>Μπάσκετ</v>
      </c>
      <c r="E77" s="53" t="str">
        <f t="array" aca="1" ref="E77" ca="1">IF(ISBLANK($A77),"",INDEX(games[th],MATCH(1,(games[r]=$A77)*(games[field]=$B77),0)))</f>
        <v/>
      </c>
      <c r="F77" s="59" t="str">
        <f ca="1">_xlfn.IFNA(INDEX(teams[name],MATCH(E77,teams[id],0)),"")</f>
        <v/>
      </c>
      <c r="G77" s="56" t="str">
        <f t="array" aca="1" ref="G77" ca="1">IF(ISBLANK($A77),"",INDEX(games[ta],MATCH(1,(games[r]=$A77)*(games[field]=$B77),0)))</f>
        <v/>
      </c>
      <c r="H77" s="59" t="str">
        <f ca="1">_xlfn.IFNA(INDEX(teams[name],MATCH(G77,teams[id],0)),"")</f>
        <v/>
      </c>
      <c r="I77" s="46"/>
      <c r="J77" s="47"/>
      <c r="K77" s="48"/>
      <c r="L77" s="42" t="b">
        <f t="shared" si="8"/>
        <v>0</v>
      </c>
    </row>
    <row r="78" spans="1:12" ht="18" customHeight="1" x14ac:dyDescent="0.3">
      <c r="A78" s="41">
        <f t="shared" si="7"/>
        <v>14</v>
      </c>
      <c r="B78" s="41" t="s">
        <v>53</v>
      </c>
      <c r="C78" s="196"/>
      <c r="D78" s="65" t="str">
        <f>INDEX(fields[name],MATCH($B78,fields[field],0))</f>
        <v>Βόλεϊ</v>
      </c>
      <c r="E78" s="66" t="str">
        <f t="array" aca="1" ref="E78" ca="1">IF(ISBLANK($A78),"",INDEX(games[th],MATCH(1,(games[r]=$A78)*(games[field]=$B78),0)))</f>
        <v/>
      </c>
      <c r="F78" s="67" t="str">
        <f ca="1">_xlfn.IFNA(INDEX(teams[name],MATCH(E78,teams[id],0)),"")</f>
        <v/>
      </c>
      <c r="G78" s="68" t="str">
        <f t="array" aca="1" ref="G78" ca="1">IF(ISBLANK($A78),"",INDEX(games[ta],MATCH(1,(games[r]=$A78)*(games[field]=$B78),0)))</f>
        <v/>
      </c>
      <c r="H78" s="67" t="str">
        <f ca="1">_xlfn.IFNA(INDEX(teams[name],MATCH(G78,teams[id],0)),"")</f>
        <v/>
      </c>
      <c r="I78" s="69"/>
      <c r="J78" s="70"/>
      <c r="K78" s="71"/>
      <c r="L78" s="42" t="b">
        <f t="shared" si="8"/>
        <v>0</v>
      </c>
    </row>
    <row r="79" spans="1:12" ht="18" customHeight="1" thickBot="1" x14ac:dyDescent="0.35">
      <c r="A79" s="41">
        <f t="shared" si="7"/>
        <v>14</v>
      </c>
      <c r="B79" s="41" t="s">
        <v>54</v>
      </c>
      <c r="C79" s="197"/>
      <c r="D79" s="63" t="str">
        <f>INDEX(fields[name],MATCH($B79,fields[field],0))</f>
        <v>Μπέιζμπολ</v>
      </c>
      <c r="E79" s="54" t="str">
        <f t="array" aca="1" ref="E79" ca="1">IF(ISBLANK($A79),"",INDEX(games[th],MATCH(1,(games[r]=$A79)*(games[field]=$B79),0)))</f>
        <v/>
      </c>
      <c r="F79" s="60" t="str">
        <f ca="1">_xlfn.IFNA(INDEX(teams[name],MATCH(E79,teams[id],0)),"")</f>
        <v/>
      </c>
      <c r="G79" s="57" t="str">
        <f t="array" aca="1" ref="G79" ca="1">IF(ISBLANK($A79),"",INDEX(games[ta],MATCH(1,(games[r]=$A79)*(games[field]=$B79),0)))</f>
        <v/>
      </c>
      <c r="H79" s="60" t="str">
        <f ca="1">_xlfn.IFNA(INDEX(teams[name],MATCH(G79,teams[id],0)),"")</f>
        <v/>
      </c>
      <c r="I79" s="49"/>
      <c r="J79" s="50"/>
      <c r="K79" s="51"/>
      <c r="L79" s="42" t="b">
        <f t="shared" si="8"/>
        <v>0</v>
      </c>
    </row>
    <row r="80" spans="1:12" ht="18" customHeight="1" thickTop="1" x14ac:dyDescent="0.3">
      <c r="A80" s="41">
        <f t="shared" si="7"/>
        <v>15</v>
      </c>
      <c r="B80" s="41" t="s">
        <v>3</v>
      </c>
      <c r="C80" s="192" t="s">
        <v>50</v>
      </c>
      <c r="D80" s="61" t="str">
        <f>INDEX(fields[name],MATCH($B80,fields[field],0))</f>
        <v>Π Ποδόσφαιρο</v>
      </c>
      <c r="E80" s="52" t="str">
        <f t="array" aca="1" ref="E80" ca="1">IF(ISBLANK($A80),"",INDEX(games[th],MATCH(1,(games[r]=$A80)*(games[field]=$B80),0)))</f>
        <v/>
      </c>
      <c r="F80" s="58" t="str">
        <f ca="1">_xlfn.IFNA(INDEX(teams[name],MATCH(E80,teams[id],0)),"")</f>
        <v/>
      </c>
      <c r="G80" s="55" t="str">
        <f t="array" aca="1" ref="G80" ca="1">IF(ISBLANK($A80),"",INDEX(games[ta],MATCH(1,(games[r]=$A80)*(games[field]=$B80),0)))</f>
        <v/>
      </c>
      <c r="H80" s="58" t="str">
        <f ca="1">_xlfn.IFNA(INDEX(teams[name],MATCH(G80,teams[id],0)),"")</f>
        <v/>
      </c>
      <c r="I80" s="43"/>
      <c r="J80" s="44"/>
      <c r="K80" s="45"/>
      <c r="L80" s="42" t="b">
        <f>NOT(OR(ISBLANK($I80),ISBLANK($J80)))</f>
        <v>0</v>
      </c>
    </row>
    <row r="81" spans="1:12" ht="18" customHeight="1" x14ac:dyDescent="0.3">
      <c r="A81" s="41">
        <f t="shared" si="7"/>
        <v>15</v>
      </c>
      <c r="B81" s="41" t="s">
        <v>4</v>
      </c>
      <c r="C81" s="193"/>
      <c r="D81" s="62" t="str">
        <f>INDEX(fields[name],MATCH($B81,fields[field],0))</f>
        <v>Κ Ποδόσφαιρο</v>
      </c>
      <c r="E81" s="53" t="str">
        <f t="array" aca="1" ref="E81" ca="1">IF(ISBLANK($A81),"",INDEX(games[th],MATCH(1,(games[r]=$A81)*(games[field]=$B81),0)))</f>
        <v/>
      </c>
      <c r="F81" s="59" t="str">
        <f ca="1">_xlfn.IFNA(INDEX(teams[name],MATCH(E81,teams[id],0)),"")</f>
        <v/>
      </c>
      <c r="G81" s="56" t="str">
        <f t="array" aca="1" ref="G81" ca="1">IF(ISBLANK($A81),"",INDEX(games[ta],MATCH(1,(games[r]=$A81)*(games[field]=$B81),0)))</f>
        <v/>
      </c>
      <c r="H81" s="59" t="str">
        <f ca="1">_xlfn.IFNA(INDEX(teams[name],MATCH(G81,teams[id],0)),"")</f>
        <v/>
      </c>
      <c r="I81" s="46"/>
      <c r="J81" s="47"/>
      <c r="K81" s="48"/>
      <c r="L81" s="42" t="b">
        <f t="shared" ref="L81:L89" si="9">NOT(OR(ISBLANK($I81),ISBLANK($J81)))</f>
        <v>0</v>
      </c>
    </row>
    <row r="82" spans="1:12" ht="18" customHeight="1" x14ac:dyDescent="0.3">
      <c r="A82" s="41">
        <f t="shared" si="7"/>
        <v>15</v>
      </c>
      <c r="B82" s="41" t="s">
        <v>5</v>
      </c>
      <c r="C82" s="193"/>
      <c r="D82" s="62" t="str">
        <f>INDEX(fields[name],MATCH($B82,fields[field],0))</f>
        <v>Μπάσκετ</v>
      </c>
      <c r="E82" s="53" t="str">
        <f t="array" aca="1" ref="E82" ca="1">IF(ISBLANK($A82),"",INDEX(games[th],MATCH(1,(games[r]=$A82)*(games[field]=$B82),0)))</f>
        <v/>
      </c>
      <c r="F82" s="59" t="str">
        <f ca="1">_xlfn.IFNA(INDEX(teams[name],MATCH(E82,teams[id],0)),"")</f>
        <v/>
      </c>
      <c r="G82" s="56" t="str">
        <f t="array" aca="1" ref="G82" ca="1">IF(ISBLANK($A82),"",INDEX(games[ta],MATCH(1,(games[r]=$A82)*(games[field]=$B82),0)))</f>
        <v/>
      </c>
      <c r="H82" s="59" t="str">
        <f ca="1">_xlfn.IFNA(INDEX(teams[name],MATCH(G82,teams[id],0)),"")</f>
        <v/>
      </c>
      <c r="I82" s="46"/>
      <c r="J82" s="47"/>
      <c r="K82" s="48"/>
      <c r="L82" s="42" t="b">
        <f t="shared" si="9"/>
        <v>0</v>
      </c>
    </row>
    <row r="83" spans="1:12" ht="18" customHeight="1" x14ac:dyDescent="0.3">
      <c r="A83" s="41">
        <f t="shared" si="7"/>
        <v>15</v>
      </c>
      <c r="B83" s="41" t="s">
        <v>53</v>
      </c>
      <c r="C83" s="193"/>
      <c r="D83" s="62" t="str">
        <f>INDEX(fields[name],MATCH($B83,fields[field],0))</f>
        <v>Βόλεϊ</v>
      </c>
      <c r="E83" s="53" t="str">
        <f t="array" aca="1" ref="E83" ca="1">IF(ISBLANK($A83),"",INDEX(games[th],MATCH(1,(games[r]=$A83)*(games[field]=$B83),0)))</f>
        <v/>
      </c>
      <c r="F83" s="59" t="str">
        <f ca="1">_xlfn.IFNA(INDEX(teams[name],MATCH(E83,teams[id],0)),"")</f>
        <v/>
      </c>
      <c r="G83" s="56" t="str">
        <f t="array" aca="1" ref="G83" ca="1">IF(ISBLANK($A83),"",INDEX(games[ta],MATCH(1,(games[r]=$A83)*(games[field]=$B83),0)))</f>
        <v/>
      </c>
      <c r="H83" s="59" t="str">
        <f ca="1">_xlfn.IFNA(INDEX(teams[name],MATCH(G83,teams[id],0)),"")</f>
        <v/>
      </c>
      <c r="I83" s="46"/>
      <c r="J83" s="47"/>
      <c r="K83" s="48"/>
      <c r="L83" s="42" t="b">
        <f t="shared" si="9"/>
        <v>0</v>
      </c>
    </row>
    <row r="84" spans="1:12" ht="18" customHeight="1" x14ac:dyDescent="0.3">
      <c r="A84" s="41">
        <f t="shared" si="7"/>
        <v>15</v>
      </c>
      <c r="B84" s="41" t="s">
        <v>54</v>
      </c>
      <c r="C84" s="194"/>
      <c r="D84" s="79" t="str">
        <f>INDEX(fields[name],MATCH($B84,fields[field],0))</f>
        <v>Μπέιζμπολ</v>
      </c>
      <c r="E84" s="80" t="str">
        <f t="array" aca="1" ref="E84" ca="1">IF(ISBLANK($A84),"",INDEX(games[th],MATCH(1,(games[r]=$A84)*(games[field]=$B84),0)))</f>
        <v/>
      </c>
      <c r="F84" s="81" t="str">
        <f ca="1">_xlfn.IFNA(INDEX(teams[name],MATCH(E84,teams[id],0)),"")</f>
        <v/>
      </c>
      <c r="G84" s="82" t="str">
        <f t="array" aca="1" ref="G84" ca="1">IF(ISBLANK($A84),"",INDEX(games[ta],MATCH(1,(games[r]=$A84)*(games[field]=$B84),0)))</f>
        <v/>
      </c>
      <c r="H84" s="81" t="str">
        <f ca="1">_xlfn.IFNA(INDEX(teams[name],MATCH(G84,teams[id],0)),"")</f>
        <v/>
      </c>
      <c r="I84" s="83"/>
      <c r="J84" s="84"/>
      <c r="K84" s="85"/>
      <c r="L84" s="42" t="b">
        <f t="shared" si="9"/>
        <v>0</v>
      </c>
    </row>
    <row r="85" spans="1:12" ht="18" customHeight="1" x14ac:dyDescent="0.3">
      <c r="A85" s="41">
        <f t="shared" si="7"/>
        <v>16</v>
      </c>
      <c r="B85" s="41" t="s">
        <v>3</v>
      </c>
      <c r="C85" s="195" t="s">
        <v>51</v>
      </c>
      <c r="D85" s="72" t="str">
        <f>INDEX(fields[name],MATCH($B85,fields[field],0))</f>
        <v>Π Ποδόσφαιρο</v>
      </c>
      <c r="E85" s="73" t="str">
        <f t="array" aca="1" ref="E85" ca="1">IF(ISBLANK($A85),"",INDEX(games[th],MATCH(1,(games[r]=$A85)*(games[field]=$B85),0)))</f>
        <v/>
      </c>
      <c r="F85" s="74" t="str">
        <f ca="1">_xlfn.IFNA(INDEX(teams[name],MATCH(E85,teams[id],0)),"")</f>
        <v/>
      </c>
      <c r="G85" s="75" t="str">
        <f t="array" aca="1" ref="G85" ca="1">IF(ISBLANK($A85),"",INDEX(games[ta],MATCH(1,(games[r]=$A85)*(games[field]=$B85),0)))</f>
        <v/>
      </c>
      <c r="H85" s="74" t="str">
        <f ca="1">_xlfn.IFNA(INDEX(teams[name],MATCH(G85,teams[id],0)),"")</f>
        <v/>
      </c>
      <c r="I85" s="76"/>
      <c r="J85" s="77"/>
      <c r="K85" s="78"/>
      <c r="L85" s="42" t="b">
        <f t="shared" si="9"/>
        <v>0</v>
      </c>
    </row>
    <row r="86" spans="1:12" ht="18" customHeight="1" x14ac:dyDescent="0.3">
      <c r="A86" s="41">
        <f t="shared" si="7"/>
        <v>16</v>
      </c>
      <c r="B86" s="41" t="s">
        <v>4</v>
      </c>
      <c r="C86" s="193"/>
      <c r="D86" s="62" t="str">
        <f>INDEX(fields[name],MATCH($B86,fields[field],0))</f>
        <v>Κ Ποδόσφαιρο</v>
      </c>
      <c r="E86" s="53" t="str">
        <f t="array" aca="1" ref="E86" ca="1">IF(ISBLANK($A86),"",INDEX(games[th],MATCH(1,(games[r]=$A86)*(games[field]=$B86),0)))</f>
        <v/>
      </c>
      <c r="F86" s="59" t="str">
        <f ca="1">_xlfn.IFNA(INDEX(teams[name],MATCH(E86,teams[id],0)),"")</f>
        <v/>
      </c>
      <c r="G86" s="56" t="str">
        <f t="array" aca="1" ref="G86" ca="1">IF(ISBLANK($A86),"",INDEX(games[ta],MATCH(1,(games[r]=$A86)*(games[field]=$B86),0)))</f>
        <v/>
      </c>
      <c r="H86" s="59" t="str">
        <f ca="1">_xlfn.IFNA(INDEX(teams[name],MATCH(G86,teams[id],0)),"")</f>
        <v/>
      </c>
      <c r="I86" s="46"/>
      <c r="J86" s="47"/>
      <c r="K86" s="48"/>
      <c r="L86" s="42" t="b">
        <f t="shared" si="9"/>
        <v>0</v>
      </c>
    </row>
    <row r="87" spans="1:12" ht="18" customHeight="1" x14ac:dyDescent="0.3">
      <c r="A87" s="41">
        <f t="shared" si="7"/>
        <v>16</v>
      </c>
      <c r="B87" s="41" t="s">
        <v>5</v>
      </c>
      <c r="C87" s="193"/>
      <c r="D87" s="62" t="str">
        <f>INDEX(fields[name],MATCH($B87,fields[field],0))</f>
        <v>Μπάσκετ</v>
      </c>
      <c r="E87" s="53" t="str">
        <f t="array" aca="1" ref="E87" ca="1">IF(ISBLANK($A87),"",INDEX(games[th],MATCH(1,(games[r]=$A87)*(games[field]=$B87),0)))</f>
        <v/>
      </c>
      <c r="F87" s="59" t="str">
        <f ca="1">_xlfn.IFNA(INDEX(teams[name],MATCH(E87,teams[id],0)),"")</f>
        <v/>
      </c>
      <c r="G87" s="56" t="str">
        <f t="array" aca="1" ref="G87" ca="1">IF(ISBLANK($A87),"",INDEX(games[ta],MATCH(1,(games[r]=$A87)*(games[field]=$B87),0)))</f>
        <v/>
      </c>
      <c r="H87" s="59" t="str">
        <f ca="1">_xlfn.IFNA(INDEX(teams[name],MATCH(G87,teams[id],0)),"")</f>
        <v/>
      </c>
      <c r="I87" s="46"/>
      <c r="J87" s="47"/>
      <c r="K87" s="48"/>
      <c r="L87" s="42" t="b">
        <f t="shared" si="9"/>
        <v>0</v>
      </c>
    </row>
    <row r="88" spans="1:12" ht="18" customHeight="1" x14ac:dyDescent="0.3">
      <c r="A88" s="41">
        <f t="shared" si="7"/>
        <v>16</v>
      </c>
      <c r="B88" s="41" t="s">
        <v>53</v>
      </c>
      <c r="C88" s="196"/>
      <c r="D88" s="65" t="str">
        <f>INDEX(fields[name],MATCH($B88,fields[field],0))</f>
        <v>Βόλεϊ</v>
      </c>
      <c r="E88" s="66" t="str">
        <f t="array" aca="1" ref="E88" ca="1">IF(ISBLANK($A88),"",INDEX(games[th],MATCH(1,(games[r]=$A88)*(games[field]=$B88),0)))</f>
        <v/>
      </c>
      <c r="F88" s="67" t="str">
        <f ca="1">_xlfn.IFNA(INDEX(teams[name],MATCH(E88,teams[id],0)),"")</f>
        <v/>
      </c>
      <c r="G88" s="68" t="str">
        <f t="array" aca="1" ref="G88" ca="1">IF(ISBLANK($A88),"",INDEX(games[ta],MATCH(1,(games[r]=$A88)*(games[field]=$B88),0)))</f>
        <v/>
      </c>
      <c r="H88" s="67" t="str">
        <f ca="1">_xlfn.IFNA(INDEX(teams[name],MATCH(G88,teams[id],0)),"")</f>
        <v/>
      </c>
      <c r="I88" s="69"/>
      <c r="J88" s="70"/>
      <c r="K88" s="71"/>
      <c r="L88" s="42" t="b">
        <f t="shared" si="9"/>
        <v>0</v>
      </c>
    </row>
    <row r="89" spans="1:12" ht="18" customHeight="1" thickBot="1" x14ac:dyDescent="0.35">
      <c r="A89" s="41">
        <f t="shared" si="7"/>
        <v>16</v>
      </c>
      <c r="B89" s="41" t="s">
        <v>54</v>
      </c>
      <c r="C89" s="198"/>
      <c r="D89" s="64" t="str">
        <f>INDEX(fields[name],MATCH($B89,fields[field],0))</f>
        <v>Μπέιζμπολ</v>
      </c>
      <c r="E89" s="54" t="str">
        <f t="array" aca="1" ref="E89" ca="1">IF(ISBLANK($A89),"",INDEX(games[th],MATCH(1,(games[r]=$A89)*(games[field]=$B89),0)))</f>
        <v/>
      </c>
      <c r="F89" s="60" t="str">
        <f ca="1">_xlfn.IFNA(INDEX(teams[name],MATCH(E89,teams[id],0)),"")</f>
        <v/>
      </c>
      <c r="G89" s="57" t="str">
        <f t="array" aca="1" ref="G89" ca="1">IF(ISBLANK($A89),"",INDEX(games[ta],MATCH(1,(games[r]=$A89)*(games[field]=$B89),0)))</f>
        <v/>
      </c>
      <c r="H89" s="60" t="str">
        <f ca="1">_xlfn.IFNA(INDEX(teams[name],MATCH(G89,teams[id],0)),"")</f>
        <v/>
      </c>
      <c r="I89" s="88"/>
      <c r="J89" s="89"/>
      <c r="K89" s="90"/>
      <c r="L89" s="42" t="b">
        <f t="shared" si="9"/>
        <v>0</v>
      </c>
    </row>
    <row r="90" spans="1:12" ht="18" customHeight="1" thickBot="1" x14ac:dyDescent="0.35"/>
    <row r="91" spans="1:12" ht="18" customHeight="1" thickBot="1" x14ac:dyDescent="0.35">
      <c r="C91" s="189">
        <f>C69+1</f>
        <v>46248</v>
      </c>
      <c r="D91" s="190"/>
      <c r="E91" s="190"/>
      <c r="F91" s="190"/>
      <c r="G91" s="190"/>
      <c r="H91" s="190"/>
      <c r="I91" s="190"/>
      <c r="J91" s="190"/>
      <c r="K91" s="191"/>
    </row>
    <row r="92" spans="1:12" ht="18" customHeight="1" thickTop="1" x14ac:dyDescent="0.3">
      <c r="A92" s="41">
        <f>A70+4</f>
        <v>17</v>
      </c>
      <c r="B92" s="41" t="s">
        <v>3</v>
      </c>
      <c r="C92" s="192" t="s">
        <v>48</v>
      </c>
      <c r="D92" s="61" t="str">
        <f>INDEX(fields[name],MATCH($B92,fields[field],0))</f>
        <v>Π Ποδόσφαιρο</v>
      </c>
      <c r="E92" s="52" t="str">
        <f t="array" aca="1" ref="E92" ca="1">IF(ISBLANK($A92),"",INDEX(games[th],MATCH(1,(games[r]=$A92)*(games[field]=$B92),0)))</f>
        <v/>
      </c>
      <c r="F92" s="58" t="str">
        <f ca="1">_xlfn.IFNA(INDEX(teams[name],MATCH(E92,teams[id],0)),"")</f>
        <v/>
      </c>
      <c r="G92" s="55" t="str">
        <f t="array" aca="1" ref="G92" ca="1">IF(ISBLANK($A92),"",INDEX(games[ta],MATCH(1,(games[r]=$A92)*(games[field]=$B92),0)))</f>
        <v/>
      </c>
      <c r="H92" s="58" t="str">
        <f ca="1">_xlfn.IFNA(INDEX(teams[name],MATCH(G92,teams[id],0)),"")</f>
        <v/>
      </c>
      <c r="I92" s="43"/>
      <c r="J92" s="44"/>
      <c r="K92" s="45"/>
      <c r="L92" s="42" t="b">
        <f>NOT(OR(ISBLANK($I92),ISBLANK($J92)))</f>
        <v>0</v>
      </c>
    </row>
    <row r="93" spans="1:12" ht="18" customHeight="1" x14ac:dyDescent="0.3">
      <c r="A93" s="41">
        <f t="shared" ref="A93:A111" si="10">A71+4</f>
        <v>17</v>
      </c>
      <c r="B93" s="41" t="s">
        <v>4</v>
      </c>
      <c r="C93" s="193"/>
      <c r="D93" s="62" t="str">
        <f>INDEX(fields[name],MATCH($B93,fields[field],0))</f>
        <v>Κ Ποδόσφαιρο</v>
      </c>
      <c r="E93" s="53" t="str">
        <f t="array" aca="1" ref="E93" ca="1">IF(ISBLANK($A93),"",INDEX(games[th],MATCH(1,(games[r]=$A93)*(games[field]=$B93),0)))</f>
        <v/>
      </c>
      <c r="F93" s="59" t="str">
        <f ca="1">_xlfn.IFNA(INDEX(teams[name],MATCH(E93,teams[id],0)),"")</f>
        <v/>
      </c>
      <c r="G93" s="56" t="str">
        <f t="array" aca="1" ref="G93" ca="1">IF(ISBLANK($A93),"",INDEX(games[ta],MATCH(1,(games[r]=$A93)*(games[field]=$B93),0)))</f>
        <v/>
      </c>
      <c r="H93" s="59" t="str">
        <f ca="1">_xlfn.IFNA(INDEX(teams[name],MATCH(G93,teams[id],0)),"")</f>
        <v/>
      </c>
      <c r="I93" s="46"/>
      <c r="J93" s="47"/>
      <c r="K93" s="48"/>
      <c r="L93" s="42" t="b">
        <f t="shared" ref="L93:L101" si="11">NOT(OR(ISBLANK($I93),ISBLANK($J93)))</f>
        <v>0</v>
      </c>
    </row>
    <row r="94" spans="1:12" ht="18" customHeight="1" x14ac:dyDescent="0.3">
      <c r="A94" s="41">
        <f t="shared" si="10"/>
        <v>17</v>
      </c>
      <c r="B94" s="41" t="s">
        <v>5</v>
      </c>
      <c r="C94" s="193"/>
      <c r="D94" s="62" t="str">
        <f>INDEX(fields[name],MATCH($B94,fields[field],0))</f>
        <v>Μπάσκετ</v>
      </c>
      <c r="E94" s="53" t="str">
        <f t="array" aca="1" ref="E94" ca="1">IF(ISBLANK($A94),"",INDEX(games[th],MATCH(1,(games[r]=$A94)*(games[field]=$B94),0)))</f>
        <v/>
      </c>
      <c r="F94" s="59" t="str">
        <f ca="1">_xlfn.IFNA(INDEX(teams[name],MATCH(E94,teams[id],0)),"")</f>
        <v/>
      </c>
      <c r="G94" s="56" t="str">
        <f t="array" aca="1" ref="G94" ca="1">IF(ISBLANK($A94),"",INDEX(games[ta],MATCH(1,(games[r]=$A94)*(games[field]=$B94),0)))</f>
        <v/>
      </c>
      <c r="H94" s="59" t="str">
        <f ca="1">_xlfn.IFNA(INDEX(teams[name],MATCH(G94,teams[id],0)),"")</f>
        <v/>
      </c>
      <c r="I94" s="46"/>
      <c r="J94" s="47"/>
      <c r="K94" s="48"/>
      <c r="L94" s="42" t="b">
        <f t="shared" si="11"/>
        <v>0</v>
      </c>
    </row>
    <row r="95" spans="1:12" ht="18" customHeight="1" x14ac:dyDescent="0.3">
      <c r="A95" s="41">
        <f t="shared" si="10"/>
        <v>17</v>
      </c>
      <c r="B95" s="41" t="s">
        <v>53</v>
      </c>
      <c r="C95" s="193"/>
      <c r="D95" s="62" t="str">
        <f>INDEX(fields[name],MATCH($B95,fields[field],0))</f>
        <v>Βόλεϊ</v>
      </c>
      <c r="E95" s="53" t="str">
        <f t="array" aca="1" ref="E95" ca="1">IF(ISBLANK($A95),"",INDEX(games[th],MATCH(1,(games[r]=$A95)*(games[field]=$B95),0)))</f>
        <v/>
      </c>
      <c r="F95" s="59" t="str">
        <f ca="1">_xlfn.IFNA(INDEX(teams[name],MATCH(E95,teams[id],0)),"")</f>
        <v/>
      </c>
      <c r="G95" s="56" t="str">
        <f t="array" aca="1" ref="G95" ca="1">IF(ISBLANK($A95),"",INDEX(games[ta],MATCH(1,(games[r]=$A95)*(games[field]=$B95),0)))</f>
        <v/>
      </c>
      <c r="H95" s="59" t="str">
        <f ca="1">_xlfn.IFNA(INDEX(teams[name],MATCH(G95,teams[id],0)),"")</f>
        <v/>
      </c>
      <c r="I95" s="46"/>
      <c r="J95" s="47"/>
      <c r="K95" s="48"/>
      <c r="L95" s="42" t="b">
        <f t="shared" si="11"/>
        <v>0</v>
      </c>
    </row>
    <row r="96" spans="1:12" ht="18" customHeight="1" x14ac:dyDescent="0.3">
      <c r="A96" s="41">
        <f t="shared" si="10"/>
        <v>17</v>
      </c>
      <c r="B96" s="41" t="s">
        <v>54</v>
      </c>
      <c r="C96" s="194"/>
      <c r="D96" s="79" t="str">
        <f>INDEX(fields[name],MATCH($B96,fields[field],0))</f>
        <v>Μπέιζμπολ</v>
      </c>
      <c r="E96" s="80" t="str">
        <f t="array" aca="1" ref="E96" ca="1">IF(ISBLANK($A96),"",INDEX(games[th],MATCH(1,(games[r]=$A96)*(games[field]=$B96),0)))</f>
        <v/>
      </c>
      <c r="F96" s="81" t="str">
        <f ca="1">_xlfn.IFNA(INDEX(teams[name],MATCH(E96,teams[id],0)),"")</f>
        <v/>
      </c>
      <c r="G96" s="82" t="str">
        <f t="array" aca="1" ref="G96" ca="1">IF(ISBLANK($A96),"",INDEX(games[ta],MATCH(1,(games[r]=$A96)*(games[field]=$B96),0)))</f>
        <v/>
      </c>
      <c r="H96" s="81" t="str">
        <f ca="1">_xlfn.IFNA(INDEX(teams[name],MATCH(G96,teams[id],0)),"")</f>
        <v/>
      </c>
      <c r="I96" s="83"/>
      <c r="J96" s="84"/>
      <c r="K96" s="85"/>
      <c r="L96" s="42" t="b">
        <f t="shared" si="11"/>
        <v>0</v>
      </c>
    </row>
    <row r="97" spans="1:12" ht="18" customHeight="1" x14ac:dyDescent="0.3">
      <c r="A97" s="41">
        <f t="shared" si="10"/>
        <v>18</v>
      </c>
      <c r="B97" s="41" t="s">
        <v>3</v>
      </c>
      <c r="C97" s="195" t="s">
        <v>49</v>
      </c>
      <c r="D97" s="72" t="str">
        <f>INDEX(fields[name],MATCH($B97,fields[field],0))</f>
        <v>Π Ποδόσφαιρο</v>
      </c>
      <c r="E97" s="73" t="str">
        <f t="array" aca="1" ref="E97" ca="1">IF(ISBLANK($A97),"",INDEX(games[th],MATCH(1,(games[r]=$A97)*(games[field]=$B97),0)))</f>
        <v/>
      </c>
      <c r="F97" s="74" t="str">
        <f ca="1">_xlfn.IFNA(INDEX(teams[name],MATCH(E97,teams[id],0)),"")</f>
        <v/>
      </c>
      <c r="G97" s="75" t="str">
        <f t="array" aca="1" ref="G97" ca="1">IF(ISBLANK($A97),"",INDEX(games[ta],MATCH(1,(games[r]=$A97)*(games[field]=$B97),0)))</f>
        <v/>
      </c>
      <c r="H97" s="74" t="str">
        <f ca="1">_xlfn.IFNA(INDEX(teams[name],MATCH(G97,teams[id],0)),"")</f>
        <v/>
      </c>
      <c r="I97" s="76"/>
      <c r="J97" s="77"/>
      <c r="K97" s="78"/>
      <c r="L97" s="42" t="b">
        <f t="shared" si="11"/>
        <v>0</v>
      </c>
    </row>
    <row r="98" spans="1:12" ht="18" customHeight="1" x14ac:dyDescent="0.3">
      <c r="A98" s="41">
        <f t="shared" si="10"/>
        <v>18</v>
      </c>
      <c r="B98" s="41" t="s">
        <v>4</v>
      </c>
      <c r="C98" s="193"/>
      <c r="D98" s="62" t="str">
        <f>INDEX(fields[name],MATCH($B98,fields[field],0))</f>
        <v>Κ Ποδόσφαιρο</v>
      </c>
      <c r="E98" s="53" t="str">
        <f t="array" aca="1" ref="E98" ca="1">IF(ISBLANK($A98),"",INDEX(games[th],MATCH(1,(games[r]=$A98)*(games[field]=$B98),0)))</f>
        <v/>
      </c>
      <c r="F98" s="59" t="str">
        <f ca="1">_xlfn.IFNA(INDEX(teams[name],MATCH(E98,teams[id],0)),"")</f>
        <v/>
      </c>
      <c r="G98" s="56" t="str">
        <f t="array" aca="1" ref="G98" ca="1">IF(ISBLANK($A98),"",INDEX(games[ta],MATCH(1,(games[r]=$A98)*(games[field]=$B98),0)))</f>
        <v/>
      </c>
      <c r="H98" s="59" t="str">
        <f ca="1">_xlfn.IFNA(INDEX(teams[name],MATCH(G98,teams[id],0)),"")</f>
        <v/>
      </c>
      <c r="I98" s="46"/>
      <c r="J98" s="47"/>
      <c r="K98" s="48"/>
      <c r="L98" s="42" t="b">
        <f t="shared" si="11"/>
        <v>0</v>
      </c>
    </row>
    <row r="99" spans="1:12" ht="18" customHeight="1" x14ac:dyDescent="0.3">
      <c r="A99" s="41">
        <f t="shared" si="10"/>
        <v>18</v>
      </c>
      <c r="B99" s="41" t="s">
        <v>5</v>
      </c>
      <c r="C99" s="193"/>
      <c r="D99" s="62" t="str">
        <f>INDEX(fields[name],MATCH($B99,fields[field],0))</f>
        <v>Μπάσκετ</v>
      </c>
      <c r="E99" s="53" t="str">
        <f t="array" aca="1" ref="E99" ca="1">IF(ISBLANK($A99),"",INDEX(games[th],MATCH(1,(games[r]=$A99)*(games[field]=$B99),0)))</f>
        <v/>
      </c>
      <c r="F99" s="59" t="str">
        <f ca="1">_xlfn.IFNA(INDEX(teams[name],MATCH(E99,teams[id],0)),"")</f>
        <v/>
      </c>
      <c r="G99" s="56" t="str">
        <f t="array" aca="1" ref="G99" ca="1">IF(ISBLANK($A99),"",INDEX(games[ta],MATCH(1,(games[r]=$A99)*(games[field]=$B99),0)))</f>
        <v/>
      </c>
      <c r="H99" s="59" t="str">
        <f ca="1">_xlfn.IFNA(INDEX(teams[name],MATCH(G99,teams[id],0)),"")</f>
        <v/>
      </c>
      <c r="I99" s="46"/>
      <c r="J99" s="47"/>
      <c r="K99" s="48"/>
      <c r="L99" s="42" t="b">
        <f t="shared" si="11"/>
        <v>0</v>
      </c>
    </row>
    <row r="100" spans="1:12" ht="18" customHeight="1" x14ac:dyDescent="0.3">
      <c r="A100" s="41">
        <f t="shared" si="10"/>
        <v>18</v>
      </c>
      <c r="B100" s="41" t="s">
        <v>53</v>
      </c>
      <c r="C100" s="196"/>
      <c r="D100" s="65" t="str">
        <f>INDEX(fields[name],MATCH($B100,fields[field],0))</f>
        <v>Βόλεϊ</v>
      </c>
      <c r="E100" s="66" t="str">
        <f t="array" aca="1" ref="E100" ca="1">IF(ISBLANK($A100),"",INDEX(games[th],MATCH(1,(games[r]=$A100)*(games[field]=$B100),0)))</f>
        <v/>
      </c>
      <c r="F100" s="67" t="str">
        <f ca="1">_xlfn.IFNA(INDEX(teams[name],MATCH(E100,teams[id],0)),"")</f>
        <v/>
      </c>
      <c r="G100" s="68" t="str">
        <f t="array" aca="1" ref="G100" ca="1">IF(ISBLANK($A100),"",INDEX(games[ta],MATCH(1,(games[r]=$A100)*(games[field]=$B100),0)))</f>
        <v/>
      </c>
      <c r="H100" s="67" t="str">
        <f ca="1">_xlfn.IFNA(INDEX(teams[name],MATCH(G100,teams[id],0)),"")</f>
        <v/>
      </c>
      <c r="I100" s="69"/>
      <c r="J100" s="70"/>
      <c r="K100" s="71"/>
      <c r="L100" s="42" t="b">
        <f t="shared" si="11"/>
        <v>0</v>
      </c>
    </row>
    <row r="101" spans="1:12" ht="18" customHeight="1" thickBot="1" x14ac:dyDescent="0.35">
      <c r="A101" s="41">
        <f t="shared" si="10"/>
        <v>18</v>
      </c>
      <c r="B101" s="41" t="s">
        <v>54</v>
      </c>
      <c r="C101" s="197"/>
      <c r="D101" s="63" t="str">
        <f>INDEX(fields[name],MATCH($B101,fields[field],0))</f>
        <v>Μπέιζμπολ</v>
      </c>
      <c r="E101" s="54" t="str">
        <f t="array" aca="1" ref="E101" ca="1">IF(ISBLANK($A101),"",INDEX(games[th],MATCH(1,(games[r]=$A101)*(games[field]=$B101),0)))</f>
        <v/>
      </c>
      <c r="F101" s="60" t="str">
        <f ca="1">_xlfn.IFNA(INDEX(teams[name],MATCH(E101,teams[id],0)),"")</f>
        <v/>
      </c>
      <c r="G101" s="57" t="str">
        <f t="array" aca="1" ref="G101" ca="1">IF(ISBLANK($A101),"",INDEX(games[ta],MATCH(1,(games[r]=$A101)*(games[field]=$B101),0)))</f>
        <v/>
      </c>
      <c r="H101" s="60" t="str">
        <f ca="1">_xlfn.IFNA(INDEX(teams[name],MATCH(G101,teams[id],0)),"")</f>
        <v/>
      </c>
      <c r="I101" s="49"/>
      <c r="J101" s="50"/>
      <c r="K101" s="51"/>
      <c r="L101" s="42" t="b">
        <f t="shared" si="11"/>
        <v>0</v>
      </c>
    </row>
    <row r="102" spans="1:12" ht="18" customHeight="1" thickTop="1" x14ac:dyDescent="0.3">
      <c r="A102" s="41">
        <f t="shared" si="10"/>
        <v>19</v>
      </c>
      <c r="B102" s="41" t="s">
        <v>3</v>
      </c>
      <c r="C102" s="192" t="s">
        <v>50</v>
      </c>
      <c r="D102" s="61" t="str">
        <f>INDEX(fields[name],MATCH($B102,fields[field],0))</f>
        <v>Π Ποδόσφαιρο</v>
      </c>
      <c r="E102" s="52" t="str">
        <f t="array" aca="1" ref="E102" ca="1">IF(ISBLANK($A102),"",INDEX(games[th],MATCH(1,(games[r]=$A102)*(games[field]=$B102),0)))</f>
        <v/>
      </c>
      <c r="F102" s="58" t="str">
        <f ca="1">_xlfn.IFNA(INDEX(teams[name],MATCH(E102,teams[id],0)),"")</f>
        <v/>
      </c>
      <c r="G102" s="55" t="str">
        <f t="array" aca="1" ref="G102" ca="1">IF(ISBLANK($A102),"",INDEX(games[ta],MATCH(1,(games[r]=$A102)*(games[field]=$B102),0)))</f>
        <v/>
      </c>
      <c r="H102" s="58" t="str">
        <f ca="1">_xlfn.IFNA(INDEX(teams[name],MATCH(G102,teams[id],0)),"")</f>
        <v/>
      </c>
      <c r="I102" s="43"/>
      <c r="J102" s="44"/>
      <c r="K102" s="45"/>
      <c r="L102" s="42" t="b">
        <f>NOT(OR(ISBLANK($I102),ISBLANK($J102)))</f>
        <v>0</v>
      </c>
    </row>
    <row r="103" spans="1:12" ht="18" customHeight="1" x14ac:dyDescent="0.3">
      <c r="A103" s="41">
        <f t="shared" si="10"/>
        <v>19</v>
      </c>
      <c r="B103" s="41" t="s">
        <v>4</v>
      </c>
      <c r="C103" s="193"/>
      <c r="D103" s="62" t="str">
        <f>INDEX(fields[name],MATCH($B103,fields[field],0))</f>
        <v>Κ Ποδόσφαιρο</v>
      </c>
      <c r="E103" s="53" t="str">
        <f t="array" aca="1" ref="E103" ca="1">IF(ISBLANK($A103),"",INDEX(games[th],MATCH(1,(games[r]=$A103)*(games[field]=$B103),0)))</f>
        <v/>
      </c>
      <c r="F103" s="59" t="str">
        <f ca="1">_xlfn.IFNA(INDEX(teams[name],MATCH(E103,teams[id],0)),"")</f>
        <v/>
      </c>
      <c r="G103" s="56" t="str">
        <f t="array" aca="1" ref="G103" ca="1">IF(ISBLANK($A103),"",INDEX(games[ta],MATCH(1,(games[r]=$A103)*(games[field]=$B103),0)))</f>
        <v/>
      </c>
      <c r="H103" s="59" t="str">
        <f ca="1">_xlfn.IFNA(INDEX(teams[name],MATCH(G103,teams[id],0)),"")</f>
        <v/>
      </c>
      <c r="I103" s="46"/>
      <c r="J103" s="47"/>
      <c r="K103" s="48"/>
      <c r="L103" s="42" t="b">
        <f t="shared" ref="L103:L111" si="12">NOT(OR(ISBLANK($I103),ISBLANK($J103)))</f>
        <v>0</v>
      </c>
    </row>
    <row r="104" spans="1:12" ht="18" customHeight="1" x14ac:dyDescent="0.3">
      <c r="A104" s="41">
        <f t="shared" si="10"/>
        <v>19</v>
      </c>
      <c r="B104" s="41" t="s">
        <v>5</v>
      </c>
      <c r="C104" s="193"/>
      <c r="D104" s="62" t="str">
        <f>INDEX(fields[name],MATCH($B104,fields[field],0))</f>
        <v>Μπάσκετ</v>
      </c>
      <c r="E104" s="53" t="str">
        <f t="array" aca="1" ref="E104" ca="1">IF(ISBLANK($A104),"",INDEX(games[th],MATCH(1,(games[r]=$A104)*(games[field]=$B104),0)))</f>
        <v/>
      </c>
      <c r="F104" s="59" t="str">
        <f ca="1">_xlfn.IFNA(INDEX(teams[name],MATCH(E104,teams[id],0)),"")</f>
        <v/>
      </c>
      <c r="G104" s="56" t="str">
        <f t="array" aca="1" ref="G104" ca="1">IF(ISBLANK($A104),"",INDEX(games[ta],MATCH(1,(games[r]=$A104)*(games[field]=$B104),0)))</f>
        <v/>
      </c>
      <c r="H104" s="59" t="str">
        <f ca="1">_xlfn.IFNA(INDEX(teams[name],MATCH(G104,teams[id],0)),"")</f>
        <v/>
      </c>
      <c r="I104" s="46"/>
      <c r="J104" s="47"/>
      <c r="K104" s="48"/>
      <c r="L104" s="42" t="b">
        <f t="shared" si="12"/>
        <v>0</v>
      </c>
    </row>
    <row r="105" spans="1:12" ht="18" customHeight="1" x14ac:dyDescent="0.3">
      <c r="A105" s="41">
        <f t="shared" si="10"/>
        <v>19</v>
      </c>
      <c r="B105" s="41" t="s">
        <v>53</v>
      </c>
      <c r="C105" s="193"/>
      <c r="D105" s="62" t="str">
        <f>INDEX(fields[name],MATCH($B105,fields[field],0))</f>
        <v>Βόλεϊ</v>
      </c>
      <c r="E105" s="53" t="str">
        <f t="array" aca="1" ref="E105" ca="1">IF(ISBLANK($A105),"",INDEX(games[th],MATCH(1,(games[r]=$A105)*(games[field]=$B105),0)))</f>
        <v/>
      </c>
      <c r="F105" s="59" t="str">
        <f ca="1">_xlfn.IFNA(INDEX(teams[name],MATCH(E105,teams[id],0)),"")</f>
        <v/>
      </c>
      <c r="G105" s="56" t="str">
        <f t="array" aca="1" ref="G105" ca="1">IF(ISBLANK($A105),"",INDEX(games[ta],MATCH(1,(games[r]=$A105)*(games[field]=$B105),0)))</f>
        <v/>
      </c>
      <c r="H105" s="59" t="str">
        <f ca="1">_xlfn.IFNA(INDEX(teams[name],MATCH(G105,teams[id],0)),"")</f>
        <v/>
      </c>
      <c r="I105" s="46"/>
      <c r="J105" s="47"/>
      <c r="K105" s="48"/>
      <c r="L105" s="42" t="b">
        <f t="shared" si="12"/>
        <v>0</v>
      </c>
    </row>
    <row r="106" spans="1:12" ht="18" customHeight="1" x14ac:dyDescent="0.3">
      <c r="A106" s="41">
        <f t="shared" si="10"/>
        <v>19</v>
      </c>
      <c r="B106" s="41" t="s">
        <v>54</v>
      </c>
      <c r="C106" s="194"/>
      <c r="D106" s="79" t="str">
        <f>INDEX(fields[name],MATCH($B106,fields[field],0))</f>
        <v>Μπέιζμπολ</v>
      </c>
      <c r="E106" s="80" t="str">
        <f t="array" aca="1" ref="E106" ca="1">IF(ISBLANK($A106),"",INDEX(games[th],MATCH(1,(games[r]=$A106)*(games[field]=$B106),0)))</f>
        <v/>
      </c>
      <c r="F106" s="81" t="str">
        <f ca="1">_xlfn.IFNA(INDEX(teams[name],MATCH(E106,teams[id],0)),"")</f>
        <v/>
      </c>
      <c r="G106" s="82" t="str">
        <f t="array" aca="1" ref="G106" ca="1">IF(ISBLANK($A106),"",INDEX(games[ta],MATCH(1,(games[r]=$A106)*(games[field]=$B106),0)))</f>
        <v/>
      </c>
      <c r="H106" s="81" t="str">
        <f ca="1">_xlfn.IFNA(INDEX(teams[name],MATCH(G106,teams[id],0)),"")</f>
        <v/>
      </c>
      <c r="I106" s="83"/>
      <c r="J106" s="84"/>
      <c r="K106" s="85"/>
      <c r="L106" s="42" t="b">
        <f t="shared" si="12"/>
        <v>0</v>
      </c>
    </row>
    <row r="107" spans="1:12" ht="18" customHeight="1" x14ac:dyDescent="0.3">
      <c r="A107" s="41">
        <f t="shared" si="10"/>
        <v>20</v>
      </c>
      <c r="B107" s="41" t="s">
        <v>3</v>
      </c>
      <c r="C107" s="195" t="s">
        <v>51</v>
      </c>
      <c r="D107" s="72" t="str">
        <f>INDEX(fields[name],MATCH($B107,fields[field],0))</f>
        <v>Π Ποδόσφαιρο</v>
      </c>
      <c r="E107" s="73" t="str">
        <f t="array" aca="1" ref="E107" ca="1">IF(ISBLANK($A107),"",INDEX(games[th],MATCH(1,(games[r]=$A107)*(games[field]=$B107),0)))</f>
        <v/>
      </c>
      <c r="F107" s="74" t="str">
        <f ca="1">_xlfn.IFNA(INDEX(teams[name],MATCH(E107,teams[id],0)),"")</f>
        <v/>
      </c>
      <c r="G107" s="75" t="str">
        <f t="array" aca="1" ref="G107" ca="1">IF(ISBLANK($A107),"",INDEX(games[ta],MATCH(1,(games[r]=$A107)*(games[field]=$B107),0)))</f>
        <v/>
      </c>
      <c r="H107" s="74" t="str">
        <f ca="1">_xlfn.IFNA(INDEX(teams[name],MATCH(G107,teams[id],0)),"")</f>
        <v/>
      </c>
      <c r="I107" s="76"/>
      <c r="J107" s="77"/>
      <c r="K107" s="78"/>
      <c r="L107" s="42" t="b">
        <f t="shared" si="12"/>
        <v>0</v>
      </c>
    </row>
    <row r="108" spans="1:12" ht="18" customHeight="1" x14ac:dyDescent="0.3">
      <c r="A108" s="41">
        <f t="shared" si="10"/>
        <v>20</v>
      </c>
      <c r="B108" s="41" t="s">
        <v>4</v>
      </c>
      <c r="C108" s="193"/>
      <c r="D108" s="62" t="str">
        <f>INDEX(fields[name],MATCH($B108,fields[field],0))</f>
        <v>Κ Ποδόσφαιρο</v>
      </c>
      <c r="E108" s="53" t="str">
        <f t="array" aca="1" ref="E108" ca="1">IF(ISBLANK($A108),"",INDEX(games[th],MATCH(1,(games[r]=$A108)*(games[field]=$B108),0)))</f>
        <v/>
      </c>
      <c r="F108" s="59" t="str">
        <f ca="1">_xlfn.IFNA(INDEX(teams[name],MATCH(E108,teams[id],0)),"")</f>
        <v/>
      </c>
      <c r="G108" s="56" t="str">
        <f t="array" aca="1" ref="G108" ca="1">IF(ISBLANK($A108),"",INDEX(games[ta],MATCH(1,(games[r]=$A108)*(games[field]=$B108),0)))</f>
        <v/>
      </c>
      <c r="H108" s="59" t="str">
        <f ca="1">_xlfn.IFNA(INDEX(teams[name],MATCH(G108,teams[id],0)),"")</f>
        <v/>
      </c>
      <c r="I108" s="46"/>
      <c r="J108" s="47"/>
      <c r="K108" s="48"/>
      <c r="L108" s="42" t="b">
        <f t="shared" si="12"/>
        <v>0</v>
      </c>
    </row>
    <row r="109" spans="1:12" ht="18" customHeight="1" x14ac:dyDescent="0.3">
      <c r="A109" s="41">
        <f t="shared" si="10"/>
        <v>20</v>
      </c>
      <c r="B109" s="41" t="s">
        <v>5</v>
      </c>
      <c r="C109" s="193"/>
      <c r="D109" s="62" t="str">
        <f>INDEX(fields[name],MATCH($B109,fields[field],0))</f>
        <v>Μπάσκετ</v>
      </c>
      <c r="E109" s="53" t="str">
        <f t="array" aca="1" ref="E109" ca="1">IF(ISBLANK($A109),"",INDEX(games[th],MATCH(1,(games[r]=$A109)*(games[field]=$B109),0)))</f>
        <v/>
      </c>
      <c r="F109" s="59" t="str">
        <f ca="1">_xlfn.IFNA(INDEX(teams[name],MATCH(E109,teams[id],0)),"")</f>
        <v/>
      </c>
      <c r="G109" s="56" t="str">
        <f t="array" aca="1" ref="G109" ca="1">IF(ISBLANK($A109),"",INDEX(games[ta],MATCH(1,(games[r]=$A109)*(games[field]=$B109),0)))</f>
        <v/>
      </c>
      <c r="H109" s="59" t="str">
        <f ca="1">_xlfn.IFNA(INDEX(teams[name],MATCH(G109,teams[id],0)),"")</f>
        <v/>
      </c>
      <c r="I109" s="46"/>
      <c r="J109" s="47"/>
      <c r="K109" s="48"/>
      <c r="L109" s="42" t="b">
        <f t="shared" si="12"/>
        <v>0</v>
      </c>
    </row>
    <row r="110" spans="1:12" ht="18" customHeight="1" x14ac:dyDescent="0.3">
      <c r="A110" s="41">
        <f t="shared" si="10"/>
        <v>20</v>
      </c>
      <c r="B110" s="41" t="s">
        <v>53</v>
      </c>
      <c r="C110" s="196"/>
      <c r="D110" s="65" t="str">
        <f>INDEX(fields[name],MATCH($B110,fields[field],0))</f>
        <v>Βόλεϊ</v>
      </c>
      <c r="E110" s="66" t="str">
        <f t="array" aca="1" ref="E110" ca="1">IF(ISBLANK($A110),"",INDEX(games[th],MATCH(1,(games[r]=$A110)*(games[field]=$B110),0)))</f>
        <v/>
      </c>
      <c r="F110" s="67" t="str">
        <f ca="1">_xlfn.IFNA(INDEX(teams[name],MATCH(E110,teams[id],0)),"")</f>
        <v/>
      </c>
      <c r="G110" s="68" t="str">
        <f t="array" aca="1" ref="G110" ca="1">IF(ISBLANK($A110),"",INDEX(games[ta],MATCH(1,(games[r]=$A110)*(games[field]=$B110),0)))</f>
        <v/>
      </c>
      <c r="H110" s="67" t="str">
        <f ca="1">_xlfn.IFNA(INDEX(teams[name],MATCH(G110,teams[id],0)),"")</f>
        <v/>
      </c>
      <c r="I110" s="69"/>
      <c r="J110" s="70"/>
      <c r="K110" s="71"/>
      <c r="L110" s="42" t="b">
        <f t="shared" si="12"/>
        <v>0</v>
      </c>
    </row>
    <row r="111" spans="1:12" ht="18" customHeight="1" thickBot="1" x14ac:dyDescent="0.35">
      <c r="A111" s="41">
        <f t="shared" si="10"/>
        <v>20</v>
      </c>
      <c r="B111" s="41" t="s">
        <v>54</v>
      </c>
      <c r="C111" s="198"/>
      <c r="D111" s="64" t="str">
        <f>INDEX(fields[name],MATCH($B111,fields[field],0))</f>
        <v>Μπέιζμπολ</v>
      </c>
      <c r="E111" s="54" t="str">
        <f t="array" aca="1" ref="E111" ca="1">IF(ISBLANK($A111),"",INDEX(games[th],MATCH(1,(games[r]=$A111)*(games[field]=$B111),0)))</f>
        <v/>
      </c>
      <c r="F111" s="60" t="str">
        <f ca="1">_xlfn.IFNA(INDEX(teams[name],MATCH(E111,teams[id],0)),"")</f>
        <v/>
      </c>
      <c r="G111" s="57" t="str">
        <f t="array" aca="1" ref="G111" ca="1">IF(ISBLANK($A111),"",INDEX(games[ta],MATCH(1,(games[r]=$A111)*(games[field]=$B111),0)))</f>
        <v/>
      </c>
      <c r="H111" s="60" t="str">
        <f ca="1">_xlfn.IFNA(INDEX(teams[name],MATCH(G111,teams[id],0)),"")</f>
        <v/>
      </c>
      <c r="I111" s="88"/>
      <c r="J111" s="89"/>
      <c r="K111" s="90"/>
      <c r="L111" s="42" t="b">
        <f t="shared" si="12"/>
        <v>0</v>
      </c>
    </row>
    <row r="112" spans="1:12" ht="18" customHeight="1" thickBot="1" x14ac:dyDescent="0.35"/>
    <row r="113" spans="1:12" ht="18" customHeight="1" thickBot="1" x14ac:dyDescent="0.35">
      <c r="C113" s="189">
        <f>C91+1</f>
        <v>46249</v>
      </c>
      <c r="D113" s="190"/>
      <c r="E113" s="190"/>
      <c r="F113" s="190"/>
      <c r="G113" s="190"/>
      <c r="H113" s="190"/>
      <c r="I113" s="190"/>
      <c r="J113" s="190"/>
      <c r="K113" s="191"/>
    </row>
    <row r="114" spans="1:12" ht="18" customHeight="1" thickTop="1" x14ac:dyDescent="0.3">
      <c r="A114" s="41">
        <f>A92+4</f>
        <v>21</v>
      </c>
      <c r="B114" s="41" t="s">
        <v>3</v>
      </c>
      <c r="C114" s="192" t="s">
        <v>48</v>
      </c>
      <c r="D114" s="61" t="str">
        <f>INDEX(fields[name],MATCH($B114,fields[field],0))</f>
        <v>Π Ποδόσφαιρο</v>
      </c>
      <c r="E114" s="52" t="str">
        <f t="array" aca="1" ref="E114" ca="1">IF(ISBLANK($A114),"",INDEX(games[th],MATCH(1,(games[r]=$A114)*(games[field]=$B114),0)))</f>
        <v/>
      </c>
      <c r="F114" s="58" t="str">
        <f ca="1">_xlfn.IFNA(INDEX(teams[name],MATCH(E114,teams[id],0)),"")</f>
        <v/>
      </c>
      <c r="G114" s="55" t="str">
        <f t="array" aca="1" ref="G114" ca="1">IF(ISBLANK($A114),"",INDEX(games[ta],MATCH(1,(games[r]=$A114)*(games[field]=$B114),0)))</f>
        <v/>
      </c>
      <c r="H114" s="58" t="str">
        <f ca="1">_xlfn.IFNA(INDEX(teams[name],MATCH(G114,teams[id],0)),"")</f>
        <v/>
      </c>
      <c r="I114" s="43"/>
      <c r="J114" s="44"/>
      <c r="K114" s="45"/>
      <c r="L114" s="42" t="b">
        <f>NOT(OR(ISBLANK($I114),ISBLANK($J114)))</f>
        <v>0</v>
      </c>
    </row>
    <row r="115" spans="1:12" ht="18" customHeight="1" x14ac:dyDescent="0.3">
      <c r="A115" s="41">
        <f t="shared" ref="A115:A133" si="13">A93+4</f>
        <v>21</v>
      </c>
      <c r="B115" s="41" t="s">
        <v>4</v>
      </c>
      <c r="C115" s="193"/>
      <c r="D115" s="62" t="str">
        <f>INDEX(fields[name],MATCH($B115,fields[field],0))</f>
        <v>Κ Ποδόσφαιρο</v>
      </c>
      <c r="E115" s="53" t="str">
        <f t="array" aca="1" ref="E115" ca="1">IF(ISBLANK($A115),"",INDEX(games[th],MATCH(1,(games[r]=$A115)*(games[field]=$B115),0)))</f>
        <v/>
      </c>
      <c r="F115" s="59" t="str">
        <f ca="1">_xlfn.IFNA(INDEX(teams[name],MATCH(E115,teams[id],0)),"")</f>
        <v/>
      </c>
      <c r="G115" s="56" t="str">
        <f t="array" aca="1" ref="G115" ca="1">IF(ISBLANK($A115),"",INDEX(games[ta],MATCH(1,(games[r]=$A115)*(games[field]=$B115),0)))</f>
        <v/>
      </c>
      <c r="H115" s="59" t="str">
        <f ca="1">_xlfn.IFNA(INDEX(teams[name],MATCH(G115,teams[id],0)),"")</f>
        <v/>
      </c>
      <c r="I115" s="46"/>
      <c r="J115" s="47"/>
      <c r="K115" s="48"/>
      <c r="L115" s="42" t="b">
        <f t="shared" ref="L115:L123" si="14">NOT(OR(ISBLANK($I115),ISBLANK($J115)))</f>
        <v>0</v>
      </c>
    </row>
    <row r="116" spans="1:12" ht="18" customHeight="1" x14ac:dyDescent="0.3">
      <c r="A116" s="41">
        <f t="shared" si="13"/>
        <v>21</v>
      </c>
      <c r="B116" s="41" t="s">
        <v>5</v>
      </c>
      <c r="C116" s="193"/>
      <c r="D116" s="62" t="str">
        <f>INDEX(fields[name],MATCH($B116,fields[field],0))</f>
        <v>Μπάσκετ</v>
      </c>
      <c r="E116" s="53" t="str">
        <f t="array" aca="1" ref="E116" ca="1">IF(ISBLANK($A116),"",INDEX(games[th],MATCH(1,(games[r]=$A116)*(games[field]=$B116),0)))</f>
        <v/>
      </c>
      <c r="F116" s="59" t="str">
        <f ca="1">_xlfn.IFNA(INDEX(teams[name],MATCH(E116,teams[id],0)),"")</f>
        <v/>
      </c>
      <c r="G116" s="56" t="str">
        <f t="array" aca="1" ref="G116" ca="1">IF(ISBLANK($A116),"",INDEX(games[ta],MATCH(1,(games[r]=$A116)*(games[field]=$B116),0)))</f>
        <v/>
      </c>
      <c r="H116" s="59" t="str">
        <f ca="1">_xlfn.IFNA(INDEX(teams[name],MATCH(G116,teams[id],0)),"")</f>
        <v/>
      </c>
      <c r="I116" s="46"/>
      <c r="J116" s="47"/>
      <c r="K116" s="48"/>
      <c r="L116" s="42" t="b">
        <f t="shared" si="14"/>
        <v>0</v>
      </c>
    </row>
    <row r="117" spans="1:12" ht="18" customHeight="1" x14ac:dyDescent="0.3">
      <c r="A117" s="41">
        <f t="shared" si="13"/>
        <v>21</v>
      </c>
      <c r="B117" s="41" t="s">
        <v>53</v>
      </c>
      <c r="C117" s="193"/>
      <c r="D117" s="62" t="str">
        <f>INDEX(fields[name],MATCH($B117,fields[field],0))</f>
        <v>Βόλεϊ</v>
      </c>
      <c r="E117" s="53" t="str">
        <f t="array" aca="1" ref="E117" ca="1">IF(ISBLANK($A117),"",INDEX(games[th],MATCH(1,(games[r]=$A117)*(games[field]=$B117),0)))</f>
        <v/>
      </c>
      <c r="F117" s="59" t="str">
        <f ca="1">_xlfn.IFNA(INDEX(teams[name],MATCH(E117,teams[id],0)),"")</f>
        <v/>
      </c>
      <c r="G117" s="56" t="str">
        <f t="array" aca="1" ref="G117" ca="1">IF(ISBLANK($A117),"",INDEX(games[ta],MATCH(1,(games[r]=$A117)*(games[field]=$B117),0)))</f>
        <v/>
      </c>
      <c r="H117" s="59" t="str">
        <f ca="1">_xlfn.IFNA(INDEX(teams[name],MATCH(G117,teams[id],0)),"")</f>
        <v/>
      </c>
      <c r="I117" s="46"/>
      <c r="J117" s="47"/>
      <c r="K117" s="48"/>
      <c r="L117" s="42" t="b">
        <f t="shared" si="14"/>
        <v>0</v>
      </c>
    </row>
    <row r="118" spans="1:12" ht="18" customHeight="1" x14ac:dyDescent="0.3">
      <c r="A118" s="41">
        <f t="shared" si="13"/>
        <v>21</v>
      </c>
      <c r="B118" s="41" t="s">
        <v>54</v>
      </c>
      <c r="C118" s="194"/>
      <c r="D118" s="79" t="str">
        <f>INDEX(fields[name],MATCH($B118,fields[field],0))</f>
        <v>Μπέιζμπολ</v>
      </c>
      <c r="E118" s="80" t="str">
        <f t="array" aca="1" ref="E118" ca="1">IF(ISBLANK($A118),"",INDEX(games[th],MATCH(1,(games[r]=$A118)*(games[field]=$B118),0)))</f>
        <v/>
      </c>
      <c r="F118" s="81" t="str">
        <f ca="1">_xlfn.IFNA(INDEX(teams[name],MATCH(E118,teams[id],0)),"")</f>
        <v/>
      </c>
      <c r="G118" s="82" t="str">
        <f t="array" aca="1" ref="G118" ca="1">IF(ISBLANK($A118),"",INDEX(games[ta],MATCH(1,(games[r]=$A118)*(games[field]=$B118),0)))</f>
        <v/>
      </c>
      <c r="H118" s="81" t="str">
        <f ca="1">_xlfn.IFNA(INDEX(teams[name],MATCH(G118,teams[id],0)),"")</f>
        <v/>
      </c>
      <c r="I118" s="83"/>
      <c r="J118" s="84"/>
      <c r="K118" s="85"/>
      <c r="L118" s="42" t="b">
        <f t="shared" si="14"/>
        <v>0</v>
      </c>
    </row>
    <row r="119" spans="1:12" ht="18" customHeight="1" x14ac:dyDescent="0.3">
      <c r="A119" s="41">
        <f t="shared" si="13"/>
        <v>22</v>
      </c>
      <c r="B119" s="41" t="s">
        <v>3</v>
      </c>
      <c r="C119" s="195" t="s">
        <v>49</v>
      </c>
      <c r="D119" s="72" t="str">
        <f>INDEX(fields[name],MATCH($B119,fields[field],0))</f>
        <v>Π Ποδόσφαιρο</v>
      </c>
      <c r="E119" s="73" t="str">
        <f t="array" aca="1" ref="E119" ca="1">IF(ISBLANK($A119),"",INDEX(games[th],MATCH(1,(games[r]=$A119)*(games[field]=$B119),0)))</f>
        <v/>
      </c>
      <c r="F119" s="74" t="str">
        <f ca="1">_xlfn.IFNA(INDEX(teams[name],MATCH(E119,teams[id],0)),"")</f>
        <v/>
      </c>
      <c r="G119" s="75" t="str">
        <f t="array" aca="1" ref="G119" ca="1">IF(ISBLANK($A119),"",INDEX(games[ta],MATCH(1,(games[r]=$A119)*(games[field]=$B119),0)))</f>
        <v/>
      </c>
      <c r="H119" s="74" t="str">
        <f ca="1">_xlfn.IFNA(INDEX(teams[name],MATCH(G119,teams[id],0)),"")</f>
        <v/>
      </c>
      <c r="I119" s="76"/>
      <c r="J119" s="77"/>
      <c r="K119" s="78"/>
      <c r="L119" s="42" t="b">
        <f t="shared" si="14"/>
        <v>0</v>
      </c>
    </row>
    <row r="120" spans="1:12" ht="18" customHeight="1" x14ac:dyDescent="0.3">
      <c r="A120" s="41">
        <f t="shared" si="13"/>
        <v>22</v>
      </c>
      <c r="B120" s="41" t="s">
        <v>4</v>
      </c>
      <c r="C120" s="193"/>
      <c r="D120" s="62" t="str">
        <f>INDEX(fields[name],MATCH($B120,fields[field],0))</f>
        <v>Κ Ποδόσφαιρο</v>
      </c>
      <c r="E120" s="53" t="str">
        <f t="array" aca="1" ref="E120" ca="1">IF(ISBLANK($A120),"",INDEX(games[th],MATCH(1,(games[r]=$A120)*(games[field]=$B120),0)))</f>
        <v/>
      </c>
      <c r="F120" s="59" t="str">
        <f ca="1">_xlfn.IFNA(INDEX(teams[name],MATCH(E120,teams[id],0)),"")</f>
        <v/>
      </c>
      <c r="G120" s="56" t="str">
        <f t="array" aca="1" ref="G120" ca="1">IF(ISBLANK($A120),"",INDEX(games[ta],MATCH(1,(games[r]=$A120)*(games[field]=$B120),0)))</f>
        <v/>
      </c>
      <c r="H120" s="59" t="str">
        <f ca="1">_xlfn.IFNA(INDEX(teams[name],MATCH(G120,teams[id],0)),"")</f>
        <v/>
      </c>
      <c r="I120" s="46"/>
      <c r="J120" s="47"/>
      <c r="K120" s="48"/>
      <c r="L120" s="42" t="b">
        <f t="shared" si="14"/>
        <v>0</v>
      </c>
    </row>
    <row r="121" spans="1:12" ht="18" customHeight="1" x14ac:dyDescent="0.3">
      <c r="A121" s="41">
        <f t="shared" si="13"/>
        <v>22</v>
      </c>
      <c r="B121" s="41" t="s">
        <v>5</v>
      </c>
      <c r="C121" s="193"/>
      <c r="D121" s="62" t="str">
        <f>INDEX(fields[name],MATCH($B121,fields[field],0))</f>
        <v>Μπάσκετ</v>
      </c>
      <c r="E121" s="53" t="str">
        <f t="array" aca="1" ref="E121" ca="1">IF(ISBLANK($A121),"",INDEX(games[th],MATCH(1,(games[r]=$A121)*(games[field]=$B121),0)))</f>
        <v/>
      </c>
      <c r="F121" s="59" t="str">
        <f ca="1">_xlfn.IFNA(INDEX(teams[name],MATCH(E121,teams[id],0)),"")</f>
        <v/>
      </c>
      <c r="G121" s="56" t="str">
        <f t="array" aca="1" ref="G121" ca="1">IF(ISBLANK($A121),"",INDEX(games[ta],MATCH(1,(games[r]=$A121)*(games[field]=$B121),0)))</f>
        <v/>
      </c>
      <c r="H121" s="59" t="str">
        <f ca="1">_xlfn.IFNA(INDEX(teams[name],MATCH(G121,teams[id],0)),"")</f>
        <v/>
      </c>
      <c r="I121" s="46"/>
      <c r="J121" s="47"/>
      <c r="K121" s="48"/>
      <c r="L121" s="42" t="b">
        <f t="shared" si="14"/>
        <v>0</v>
      </c>
    </row>
    <row r="122" spans="1:12" ht="18" customHeight="1" x14ac:dyDescent="0.3">
      <c r="A122" s="41">
        <f t="shared" si="13"/>
        <v>22</v>
      </c>
      <c r="B122" s="41" t="s">
        <v>53</v>
      </c>
      <c r="C122" s="196"/>
      <c r="D122" s="65" t="str">
        <f>INDEX(fields[name],MATCH($B122,fields[field],0))</f>
        <v>Βόλεϊ</v>
      </c>
      <c r="E122" s="66" t="str">
        <f t="array" aca="1" ref="E122" ca="1">IF(ISBLANK($A122),"",INDEX(games[th],MATCH(1,(games[r]=$A122)*(games[field]=$B122),0)))</f>
        <v/>
      </c>
      <c r="F122" s="67" t="str">
        <f ca="1">_xlfn.IFNA(INDEX(teams[name],MATCH(E122,teams[id],0)),"")</f>
        <v/>
      </c>
      <c r="G122" s="68" t="str">
        <f t="array" aca="1" ref="G122" ca="1">IF(ISBLANK($A122),"",INDEX(games[ta],MATCH(1,(games[r]=$A122)*(games[field]=$B122),0)))</f>
        <v/>
      </c>
      <c r="H122" s="67" t="str">
        <f ca="1">_xlfn.IFNA(INDEX(teams[name],MATCH(G122,teams[id],0)),"")</f>
        <v/>
      </c>
      <c r="I122" s="69"/>
      <c r="J122" s="70"/>
      <c r="K122" s="71"/>
      <c r="L122" s="42" t="b">
        <f t="shared" si="14"/>
        <v>0</v>
      </c>
    </row>
    <row r="123" spans="1:12" ht="18" customHeight="1" thickBot="1" x14ac:dyDescent="0.35">
      <c r="A123" s="41">
        <f t="shared" si="13"/>
        <v>22</v>
      </c>
      <c r="B123" s="41" t="s">
        <v>54</v>
      </c>
      <c r="C123" s="197"/>
      <c r="D123" s="63" t="str">
        <f>INDEX(fields[name],MATCH($B123,fields[field],0))</f>
        <v>Μπέιζμπολ</v>
      </c>
      <c r="E123" s="54" t="str">
        <f t="array" aca="1" ref="E123" ca="1">IF(ISBLANK($A123),"",INDEX(games[th],MATCH(1,(games[r]=$A123)*(games[field]=$B123),0)))</f>
        <v/>
      </c>
      <c r="F123" s="60" t="str">
        <f ca="1">_xlfn.IFNA(INDEX(teams[name],MATCH(E123,teams[id],0)),"")</f>
        <v/>
      </c>
      <c r="G123" s="57" t="str">
        <f t="array" aca="1" ref="G123" ca="1">IF(ISBLANK($A123),"",INDEX(games[ta],MATCH(1,(games[r]=$A123)*(games[field]=$B123),0)))</f>
        <v/>
      </c>
      <c r="H123" s="60" t="str">
        <f ca="1">_xlfn.IFNA(INDEX(teams[name],MATCH(G123,teams[id],0)),"")</f>
        <v/>
      </c>
      <c r="I123" s="49"/>
      <c r="J123" s="50"/>
      <c r="K123" s="51"/>
      <c r="L123" s="42" t="b">
        <f t="shared" si="14"/>
        <v>0</v>
      </c>
    </row>
    <row r="124" spans="1:12" ht="18" customHeight="1" thickTop="1" x14ac:dyDescent="0.3">
      <c r="A124" s="41">
        <f t="shared" si="13"/>
        <v>23</v>
      </c>
      <c r="B124" s="41" t="s">
        <v>3</v>
      </c>
      <c r="C124" s="192" t="s">
        <v>50</v>
      </c>
      <c r="D124" s="61" t="str">
        <f>INDEX(fields[name],MATCH($B124,fields[field],0))</f>
        <v>Π Ποδόσφαιρο</v>
      </c>
      <c r="E124" s="52" t="str">
        <f t="array" aca="1" ref="E124" ca="1">IF(ISBLANK($A124),"",INDEX(games[th],MATCH(1,(games[r]=$A124)*(games[field]=$B124),0)))</f>
        <v/>
      </c>
      <c r="F124" s="58" t="str">
        <f ca="1">_xlfn.IFNA(INDEX(teams[name],MATCH(E124,teams[id],0)),"")</f>
        <v/>
      </c>
      <c r="G124" s="55" t="str">
        <f t="array" aca="1" ref="G124" ca="1">IF(ISBLANK($A124),"",INDEX(games[ta],MATCH(1,(games[r]=$A124)*(games[field]=$B124),0)))</f>
        <v/>
      </c>
      <c r="H124" s="58" t="str">
        <f ca="1">_xlfn.IFNA(INDEX(teams[name],MATCH(G124,teams[id],0)),"")</f>
        <v/>
      </c>
      <c r="I124" s="43"/>
      <c r="J124" s="44"/>
      <c r="K124" s="45"/>
      <c r="L124" s="42" t="b">
        <f>NOT(OR(ISBLANK($I124),ISBLANK($J124)))</f>
        <v>0</v>
      </c>
    </row>
    <row r="125" spans="1:12" ht="18" customHeight="1" x14ac:dyDescent="0.3">
      <c r="A125" s="41">
        <f t="shared" si="13"/>
        <v>23</v>
      </c>
      <c r="B125" s="41" t="s">
        <v>4</v>
      </c>
      <c r="C125" s="193"/>
      <c r="D125" s="62" t="str">
        <f>INDEX(fields[name],MATCH($B125,fields[field],0))</f>
        <v>Κ Ποδόσφαιρο</v>
      </c>
      <c r="E125" s="53" t="str">
        <f t="array" aca="1" ref="E125" ca="1">IF(ISBLANK($A125),"",INDEX(games[th],MATCH(1,(games[r]=$A125)*(games[field]=$B125),0)))</f>
        <v/>
      </c>
      <c r="F125" s="59" t="str">
        <f ca="1">_xlfn.IFNA(INDEX(teams[name],MATCH(E125,teams[id],0)),"")</f>
        <v/>
      </c>
      <c r="G125" s="56" t="str">
        <f t="array" aca="1" ref="G125" ca="1">IF(ISBLANK($A125),"",INDEX(games[ta],MATCH(1,(games[r]=$A125)*(games[field]=$B125),0)))</f>
        <v/>
      </c>
      <c r="H125" s="59" t="str">
        <f ca="1">_xlfn.IFNA(INDEX(teams[name],MATCH(G125,teams[id],0)),"")</f>
        <v/>
      </c>
      <c r="I125" s="46"/>
      <c r="J125" s="47"/>
      <c r="K125" s="48"/>
      <c r="L125" s="42" t="b">
        <f t="shared" ref="L125:L133" si="15">NOT(OR(ISBLANK($I125),ISBLANK($J125)))</f>
        <v>0</v>
      </c>
    </row>
    <row r="126" spans="1:12" ht="18" customHeight="1" x14ac:dyDescent="0.3">
      <c r="A126" s="41">
        <f t="shared" si="13"/>
        <v>23</v>
      </c>
      <c r="B126" s="41" t="s">
        <v>5</v>
      </c>
      <c r="C126" s="193"/>
      <c r="D126" s="62" t="str">
        <f>INDEX(fields[name],MATCH($B126,fields[field],0))</f>
        <v>Μπάσκετ</v>
      </c>
      <c r="E126" s="53" t="str">
        <f t="array" aca="1" ref="E126" ca="1">IF(ISBLANK($A126),"",INDEX(games[th],MATCH(1,(games[r]=$A126)*(games[field]=$B126),0)))</f>
        <v/>
      </c>
      <c r="F126" s="59" t="str">
        <f ca="1">_xlfn.IFNA(INDEX(teams[name],MATCH(E126,teams[id],0)),"")</f>
        <v/>
      </c>
      <c r="G126" s="56" t="str">
        <f t="array" aca="1" ref="G126" ca="1">IF(ISBLANK($A126),"",INDEX(games[ta],MATCH(1,(games[r]=$A126)*(games[field]=$B126),0)))</f>
        <v/>
      </c>
      <c r="H126" s="59" t="str">
        <f ca="1">_xlfn.IFNA(INDEX(teams[name],MATCH(G126,teams[id],0)),"")</f>
        <v/>
      </c>
      <c r="I126" s="46"/>
      <c r="J126" s="47"/>
      <c r="K126" s="48"/>
      <c r="L126" s="42" t="b">
        <f t="shared" si="15"/>
        <v>0</v>
      </c>
    </row>
    <row r="127" spans="1:12" ht="18" customHeight="1" x14ac:dyDescent="0.3">
      <c r="A127" s="41">
        <f t="shared" si="13"/>
        <v>23</v>
      </c>
      <c r="B127" s="41" t="s">
        <v>53</v>
      </c>
      <c r="C127" s="193"/>
      <c r="D127" s="62" t="str">
        <f>INDEX(fields[name],MATCH($B127,fields[field],0))</f>
        <v>Βόλεϊ</v>
      </c>
      <c r="E127" s="53" t="str">
        <f t="array" aca="1" ref="E127" ca="1">IF(ISBLANK($A127),"",INDEX(games[th],MATCH(1,(games[r]=$A127)*(games[field]=$B127),0)))</f>
        <v/>
      </c>
      <c r="F127" s="59" t="str">
        <f ca="1">_xlfn.IFNA(INDEX(teams[name],MATCH(E127,teams[id],0)),"")</f>
        <v/>
      </c>
      <c r="G127" s="56" t="str">
        <f t="array" aca="1" ref="G127" ca="1">IF(ISBLANK($A127),"",INDEX(games[ta],MATCH(1,(games[r]=$A127)*(games[field]=$B127),0)))</f>
        <v/>
      </c>
      <c r="H127" s="59" t="str">
        <f ca="1">_xlfn.IFNA(INDEX(teams[name],MATCH(G127,teams[id],0)),"")</f>
        <v/>
      </c>
      <c r="I127" s="46"/>
      <c r="J127" s="47"/>
      <c r="K127" s="48"/>
      <c r="L127" s="42" t="b">
        <f t="shared" si="15"/>
        <v>0</v>
      </c>
    </row>
    <row r="128" spans="1:12" ht="18" customHeight="1" x14ac:dyDescent="0.3">
      <c r="A128" s="41">
        <f t="shared" si="13"/>
        <v>23</v>
      </c>
      <c r="B128" s="41" t="s">
        <v>54</v>
      </c>
      <c r="C128" s="194"/>
      <c r="D128" s="79" t="str">
        <f>INDEX(fields[name],MATCH($B128,fields[field],0))</f>
        <v>Μπέιζμπολ</v>
      </c>
      <c r="E128" s="80" t="str">
        <f t="array" aca="1" ref="E128" ca="1">IF(ISBLANK($A128),"",INDEX(games[th],MATCH(1,(games[r]=$A128)*(games[field]=$B128),0)))</f>
        <v/>
      </c>
      <c r="F128" s="81" t="str">
        <f ca="1">_xlfn.IFNA(INDEX(teams[name],MATCH(E128,teams[id],0)),"")</f>
        <v/>
      </c>
      <c r="G128" s="82" t="str">
        <f t="array" aca="1" ref="G128" ca="1">IF(ISBLANK($A128),"",INDEX(games[ta],MATCH(1,(games[r]=$A128)*(games[field]=$B128),0)))</f>
        <v/>
      </c>
      <c r="H128" s="81" t="str">
        <f ca="1">_xlfn.IFNA(INDEX(teams[name],MATCH(G128,teams[id],0)),"")</f>
        <v/>
      </c>
      <c r="I128" s="83"/>
      <c r="J128" s="84"/>
      <c r="K128" s="85"/>
      <c r="L128" s="42" t="b">
        <f t="shared" si="15"/>
        <v>0</v>
      </c>
    </row>
    <row r="129" spans="1:12" ht="18" customHeight="1" x14ac:dyDescent="0.3">
      <c r="A129" s="41">
        <f t="shared" si="13"/>
        <v>24</v>
      </c>
      <c r="B129" s="41" t="s">
        <v>3</v>
      </c>
      <c r="C129" s="195" t="s">
        <v>51</v>
      </c>
      <c r="D129" s="72" t="str">
        <f>INDEX(fields[name],MATCH($B129,fields[field],0))</f>
        <v>Π Ποδόσφαιρο</v>
      </c>
      <c r="E129" s="73" t="str">
        <f t="array" aca="1" ref="E129" ca="1">IF(ISBLANK($A129),"",INDEX(games[th],MATCH(1,(games[r]=$A129)*(games[field]=$B129),0)))</f>
        <v/>
      </c>
      <c r="F129" s="74" t="str">
        <f ca="1">_xlfn.IFNA(INDEX(teams[name],MATCH(E129,teams[id],0)),"")</f>
        <v/>
      </c>
      <c r="G129" s="75" t="str">
        <f t="array" aca="1" ref="G129" ca="1">IF(ISBLANK($A129),"",INDEX(games[ta],MATCH(1,(games[r]=$A129)*(games[field]=$B129),0)))</f>
        <v/>
      </c>
      <c r="H129" s="74" t="str">
        <f ca="1">_xlfn.IFNA(INDEX(teams[name],MATCH(G129,teams[id],0)),"")</f>
        <v/>
      </c>
      <c r="I129" s="76"/>
      <c r="J129" s="77"/>
      <c r="K129" s="78"/>
      <c r="L129" s="42" t="b">
        <f t="shared" si="15"/>
        <v>0</v>
      </c>
    </row>
    <row r="130" spans="1:12" ht="18" customHeight="1" x14ac:dyDescent="0.3">
      <c r="A130" s="41">
        <f t="shared" si="13"/>
        <v>24</v>
      </c>
      <c r="B130" s="41" t="s">
        <v>4</v>
      </c>
      <c r="C130" s="193"/>
      <c r="D130" s="62" t="str">
        <f>INDEX(fields[name],MATCH($B130,fields[field],0))</f>
        <v>Κ Ποδόσφαιρο</v>
      </c>
      <c r="E130" s="53" t="str">
        <f t="array" aca="1" ref="E130" ca="1">IF(ISBLANK($A130),"",INDEX(games[th],MATCH(1,(games[r]=$A130)*(games[field]=$B130),0)))</f>
        <v/>
      </c>
      <c r="F130" s="59" t="str">
        <f ca="1">_xlfn.IFNA(INDEX(teams[name],MATCH(E130,teams[id],0)),"")</f>
        <v/>
      </c>
      <c r="G130" s="56" t="str">
        <f t="array" aca="1" ref="G130" ca="1">IF(ISBLANK($A130),"",INDEX(games[ta],MATCH(1,(games[r]=$A130)*(games[field]=$B130),0)))</f>
        <v/>
      </c>
      <c r="H130" s="59" t="str">
        <f ca="1">_xlfn.IFNA(INDEX(teams[name],MATCH(G130,teams[id],0)),"")</f>
        <v/>
      </c>
      <c r="I130" s="46"/>
      <c r="J130" s="47"/>
      <c r="K130" s="48"/>
      <c r="L130" s="42" t="b">
        <f t="shared" si="15"/>
        <v>0</v>
      </c>
    </row>
    <row r="131" spans="1:12" ht="18" customHeight="1" x14ac:dyDescent="0.3">
      <c r="A131" s="41">
        <f t="shared" si="13"/>
        <v>24</v>
      </c>
      <c r="B131" s="41" t="s">
        <v>5</v>
      </c>
      <c r="C131" s="193"/>
      <c r="D131" s="62" t="str">
        <f>INDEX(fields[name],MATCH($B131,fields[field],0))</f>
        <v>Μπάσκετ</v>
      </c>
      <c r="E131" s="53" t="str">
        <f t="array" aca="1" ref="E131" ca="1">IF(ISBLANK($A131),"",INDEX(games[th],MATCH(1,(games[r]=$A131)*(games[field]=$B131),0)))</f>
        <v/>
      </c>
      <c r="F131" s="59" t="str">
        <f ca="1">_xlfn.IFNA(INDEX(teams[name],MATCH(E131,teams[id],0)),"")</f>
        <v/>
      </c>
      <c r="G131" s="56" t="str">
        <f t="array" aca="1" ref="G131" ca="1">IF(ISBLANK($A131),"",INDEX(games[ta],MATCH(1,(games[r]=$A131)*(games[field]=$B131),0)))</f>
        <v/>
      </c>
      <c r="H131" s="59" t="str">
        <f ca="1">_xlfn.IFNA(INDEX(teams[name],MATCH(G131,teams[id],0)),"")</f>
        <v/>
      </c>
      <c r="I131" s="46"/>
      <c r="J131" s="47"/>
      <c r="K131" s="48"/>
      <c r="L131" s="42" t="b">
        <f t="shared" si="15"/>
        <v>0</v>
      </c>
    </row>
    <row r="132" spans="1:12" ht="18" customHeight="1" x14ac:dyDescent="0.3">
      <c r="A132" s="41">
        <f t="shared" si="13"/>
        <v>24</v>
      </c>
      <c r="B132" s="41" t="s">
        <v>53</v>
      </c>
      <c r="C132" s="196"/>
      <c r="D132" s="65" t="str">
        <f>INDEX(fields[name],MATCH($B132,fields[field],0))</f>
        <v>Βόλεϊ</v>
      </c>
      <c r="E132" s="66" t="str">
        <f t="array" aca="1" ref="E132" ca="1">IF(ISBLANK($A132),"",INDEX(games[th],MATCH(1,(games[r]=$A132)*(games[field]=$B132),0)))</f>
        <v/>
      </c>
      <c r="F132" s="67" t="str">
        <f ca="1">_xlfn.IFNA(INDEX(teams[name],MATCH(E132,teams[id],0)),"")</f>
        <v/>
      </c>
      <c r="G132" s="68" t="str">
        <f t="array" aca="1" ref="G132" ca="1">IF(ISBLANK($A132),"",INDEX(games[ta],MATCH(1,(games[r]=$A132)*(games[field]=$B132),0)))</f>
        <v/>
      </c>
      <c r="H132" s="67" t="str">
        <f ca="1">_xlfn.IFNA(INDEX(teams[name],MATCH(G132,teams[id],0)),"")</f>
        <v/>
      </c>
      <c r="I132" s="69"/>
      <c r="J132" s="70"/>
      <c r="K132" s="71"/>
      <c r="L132" s="42" t="b">
        <f t="shared" si="15"/>
        <v>0</v>
      </c>
    </row>
    <row r="133" spans="1:12" ht="18" customHeight="1" thickBot="1" x14ac:dyDescent="0.35">
      <c r="A133" s="41">
        <f t="shared" si="13"/>
        <v>24</v>
      </c>
      <c r="B133" s="41" t="s">
        <v>54</v>
      </c>
      <c r="C133" s="198"/>
      <c r="D133" s="64" t="str">
        <f>INDEX(fields[name],MATCH($B133,fields[field],0))</f>
        <v>Μπέιζμπολ</v>
      </c>
      <c r="E133" s="54" t="str">
        <f t="array" aca="1" ref="E133" ca="1">IF(ISBLANK($A133),"",INDEX(games[th],MATCH(1,(games[r]=$A133)*(games[field]=$B133),0)))</f>
        <v/>
      </c>
      <c r="F133" s="60" t="str">
        <f ca="1">_xlfn.IFNA(INDEX(teams[name],MATCH(E133,teams[id],0)),"")</f>
        <v/>
      </c>
      <c r="G133" s="57" t="str">
        <f t="array" aca="1" ref="G133" ca="1">IF(ISBLANK($A133),"",INDEX(games[ta],MATCH(1,(games[r]=$A133)*(games[field]=$B133),0)))</f>
        <v/>
      </c>
      <c r="H133" s="60" t="str">
        <f ca="1">_xlfn.IFNA(INDEX(teams[name],MATCH(G133,teams[id],0)),"")</f>
        <v/>
      </c>
      <c r="I133" s="88"/>
      <c r="J133" s="89"/>
      <c r="K133" s="90"/>
      <c r="L133" s="42" t="b">
        <f t="shared" si="15"/>
        <v>0</v>
      </c>
    </row>
    <row r="134" spans="1:12" ht="18" customHeight="1" thickBot="1" x14ac:dyDescent="0.35"/>
    <row r="135" spans="1:12" ht="18" customHeight="1" thickBot="1" x14ac:dyDescent="0.35">
      <c r="C135" s="189">
        <f>C113+1</f>
        <v>46250</v>
      </c>
      <c r="D135" s="190"/>
      <c r="E135" s="190"/>
      <c r="F135" s="190"/>
      <c r="G135" s="190"/>
      <c r="H135" s="190"/>
      <c r="I135" s="190"/>
      <c r="J135" s="190"/>
      <c r="K135" s="191"/>
    </row>
    <row r="136" spans="1:12" ht="18" customHeight="1" thickTop="1" x14ac:dyDescent="0.3">
      <c r="A136" s="41">
        <f>A114+4</f>
        <v>25</v>
      </c>
      <c r="B136" s="41" t="s">
        <v>3</v>
      </c>
      <c r="C136" s="192" t="s">
        <v>48</v>
      </c>
      <c r="D136" s="61" t="str">
        <f>INDEX(fields[name],MATCH($B136,fields[field],0))</f>
        <v>Π Ποδόσφαιρο</v>
      </c>
      <c r="E136" s="52" t="str">
        <f t="array" aca="1" ref="E136" ca="1">IF(ISBLANK($A136),"",INDEX(games[th],MATCH(1,(games[r]=$A136)*(games[field]=$B136),0)))</f>
        <v/>
      </c>
      <c r="F136" s="58" t="str">
        <f ca="1">_xlfn.IFNA(INDEX(teams[name],MATCH(E136,teams[id],0)),"")</f>
        <v/>
      </c>
      <c r="G136" s="55" t="str">
        <f t="array" aca="1" ref="G136" ca="1">IF(ISBLANK($A136),"",INDEX(games[ta],MATCH(1,(games[r]=$A136)*(games[field]=$B136),0)))</f>
        <v/>
      </c>
      <c r="H136" s="58" t="str">
        <f ca="1">_xlfn.IFNA(INDEX(teams[name],MATCH(G136,teams[id],0)),"")</f>
        <v/>
      </c>
      <c r="I136" s="43"/>
      <c r="J136" s="44"/>
      <c r="K136" s="45"/>
      <c r="L136" s="42" t="b">
        <f>NOT(OR(ISBLANK($I136),ISBLANK($J136)))</f>
        <v>0</v>
      </c>
    </row>
    <row r="137" spans="1:12" ht="18" customHeight="1" x14ac:dyDescent="0.3">
      <c r="A137" s="41">
        <f t="shared" ref="A137:A155" si="16">A115+4</f>
        <v>25</v>
      </c>
      <c r="B137" s="41" t="s">
        <v>4</v>
      </c>
      <c r="C137" s="193"/>
      <c r="D137" s="62" t="str">
        <f>INDEX(fields[name],MATCH($B137,fields[field],0))</f>
        <v>Κ Ποδόσφαιρο</v>
      </c>
      <c r="E137" s="53" t="str">
        <f t="array" aca="1" ref="E137" ca="1">IF(ISBLANK($A137),"",INDEX(games[th],MATCH(1,(games[r]=$A137)*(games[field]=$B137),0)))</f>
        <v/>
      </c>
      <c r="F137" s="59" t="str">
        <f ca="1">_xlfn.IFNA(INDEX(teams[name],MATCH(E137,teams[id],0)),"")</f>
        <v/>
      </c>
      <c r="G137" s="56" t="str">
        <f t="array" aca="1" ref="G137" ca="1">IF(ISBLANK($A137),"",INDEX(games[ta],MATCH(1,(games[r]=$A137)*(games[field]=$B137),0)))</f>
        <v/>
      </c>
      <c r="H137" s="59" t="str">
        <f ca="1">_xlfn.IFNA(INDEX(teams[name],MATCH(G137,teams[id],0)),"")</f>
        <v/>
      </c>
      <c r="I137" s="46"/>
      <c r="J137" s="47"/>
      <c r="K137" s="48"/>
      <c r="L137" s="42" t="b">
        <f t="shared" ref="L137:L145" si="17">NOT(OR(ISBLANK($I137),ISBLANK($J137)))</f>
        <v>0</v>
      </c>
    </row>
    <row r="138" spans="1:12" ht="18" customHeight="1" x14ac:dyDescent="0.3">
      <c r="A138" s="41">
        <f t="shared" si="16"/>
        <v>25</v>
      </c>
      <c r="B138" s="41" t="s">
        <v>5</v>
      </c>
      <c r="C138" s="193"/>
      <c r="D138" s="62" t="str">
        <f>INDEX(fields[name],MATCH($B138,fields[field],0))</f>
        <v>Μπάσκετ</v>
      </c>
      <c r="E138" s="53" t="str">
        <f t="array" aca="1" ref="E138" ca="1">IF(ISBLANK($A138),"",INDEX(games[th],MATCH(1,(games[r]=$A138)*(games[field]=$B138),0)))</f>
        <v/>
      </c>
      <c r="F138" s="59" t="str">
        <f ca="1">_xlfn.IFNA(INDEX(teams[name],MATCH(E138,teams[id],0)),"")</f>
        <v/>
      </c>
      <c r="G138" s="56" t="str">
        <f t="array" aca="1" ref="G138" ca="1">IF(ISBLANK($A138),"",INDEX(games[ta],MATCH(1,(games[r]=$A138)*(games[field]=$B138),0)))</f>
        <v/>
      </c>
      <c r="H138" s="59" t="str">
        <f ca="1">_xlfn.IFNA(INDEX(teams[name],MATCH(G138,teams[id],0)),"")</f>
        <v/>
      </c>
      <c r="I138" s="46"/>
      <c r="J138" s="47"/>
      <c r="K138" s="48"/>
      <c r="L138" s="42" t="b">
        <f t="shared" si="17"/>
        <v>0</v>
      </c>
    </row>
    <row r="139" spans="1:12" ht="18" customHeight="1" x14ac:dyDescent="0.3">
      <c r="A139" s="41">
        <f t="shared" si="16"/>
        <v>25</v>
      </c>
      <c r="B139" s="41" t="s">
        <v>53</v>
      </c>
      <c r="C139" s="193"/>
      <c r="D139" s="62" t="str">
        <f>INDEX(fields[name],MATCH($B139,fields[field],0))</f>
        <v>Βόλεϊ</v>
      </c>
      <c r="E139" s="53" t="str">
        <f t="array" aca="1" ref="E139" ca="1">IF(ISBLANK($A139),"",INDEX(games[th],MATCH(1,(games[r]=$A139)*(games[field]=$B139),0)))</f>
        <v/>
      </c>
      <c r="F139" s="59" t="str">
        <f ca="1">_xlfn.IFNA(INDEX(teams[name],MATCH(E139,teams[id],0)),"")</f>
        <v/>
      </c>
      <c r="G139" s="56" t="str">
        <f t="array" aca="1" ref="G139" ca="1">IF(ISBLANK($A139),"",INDEX(games[ta],MATCH(1,(games[r]=$A139)*(games[field]=$B139),0)))</f>
        <v/>
      </c>
      <c r="H139" s="59" t="str">
        <f ca="1">_xlfn.IFNA(INDEX(teams[name],MATCH(G139,teams[id],0)),"")</f>
        <v/>
      </c>
      <c r="I139" s="46"/>
      <c r="J139" s="47"/>
      <c r="K139" s="48"/>
      <c r="L139" s="42" t="b">
        <f t="shared" si="17"/>
        <v>0</v>
      </c>
    </row>
    <row r="140" spans="1:12" ht="18" customHeight="1" x14ac:dyDescent="0.3">
      <c r="A140" s="41">
        <f t="shared" si="16"/>
        <v>25</v>
      </c>
      <c r="B140" s="41" t="s">
        <v>54</v>
      </c>
      <c r="C140" s="194"/>
      <c r="D140" s="79" t="str">
        <f>INDEX(fields[name],MATCH($B140,fields[field],0))</f>
        <v>Μπέιζμπολ</v>
      </c>
      <c r="E140" s="80" t="str">
        <f t="array" aca="1" ref="E140" ca="1">IF(ISBLANK($A140),"",INDEX(games[th],MATCH(1,(games[r]=$A140)*(games[field]=$B140),0)))</f>
        <v/>
      </c>
      <c r="F140" s="81" t="str">
        <f ca="1">_xlfn.IFNA(INDEX(teams[name],MATCH(E140,teams[id],0)),"")</f>
        <v/>
      </c>
      <c r="G140" s="82" t="str">
        <f t="array" aca="1" ref="G140" ca="1">IF(ISBLANK($A140),"",INDEX(games[ta],MATCH(1,(games[r]=$A140)*(games[field]=$B140),0)))</f>
        <v/>
      </c>
      <c r="H140" s="81" t="str">
        <f ca="1">_xlfn.IFNA(INDEX(teams[name],MATCH(G140,teams[id],0)),"")</f>
        <v/>
      </c>
      <c r="I140" s="83"/>
      <c r="J140" s="84"/>
      <c r="K140" s="85"/>
      <c r="L140" s="42" t="b">
        <f t="shared" si="17"/>
        <v>0</v>
      </c>
    </row>
    <row r="141" spans="1:12" ht="18" customHeight="1" x14ac:dyDescent="0.3">
      <c r="A141" s="41">
        <f t="shared" si="16"/>
        <v>26</v>
      </c>
      <c r="B141" s="41" t="s">
        <v>3</v>
      </c>
      <c r="C141" s="195" t="s">
        <v>49</v>
      </c>
      <c r="D141" s="72" t="str">
        <f>INDEX(fields[name],MATCH($B141,fields[field],0))</f>
        <v>Π Ποδόσφαιρο</v>
      </c>
      <c r="E141" s="73" t="str">
        <f t="array" aca="1" ref="E141" ca="1">IF(ISBLANK($A141),"",INDEX(games[th],MATCH(1,(games[r]=$A141)*(games[field]=$B141),0)))</f>
        <v/>
      </c>
      <c r="F141" s="74" t="str">
        <f ca="1">_xlfn.IFNA(INDEX(teams[name],MATCH(E141,teams[id],0)),"")</f>
        <v/>
      </c>
      <c r="G141" s="75" t="str">
        <f t="array" aca="1" ref="G141" ca="1">IF(ISBLANK($A141),"",INDEX(games[ta],MATCH(1,(games[r]=$A141)*(games[field]=$B141),0)))</f>
        <v/>
      </c>
      <c r="H141" s="74" t="str">
        <f ca="1">_xlfn.IFNA(INDEX(teams[name],MATCH(G141,teams[id],0)),"")</f>
        <v/>
      </c>
      <c r="I141" s="76"/>
      <c r="J141" s="77"/>
      <c r="K141" s="78"/>
      <c r="L141" s="42" t="b">
        <f t="shared" si="17"/>
        <v>0</v>
      </c>
    </row>
    <row r="142" spans="1:12" ht="18" customHeight="1" x14ac:dyDescent="0.3">
      <c r="A142" s="41">
        <f t="shared" si="16"/>
        <v>26</v>
      </c>
      <c r="B142" s="41" t="s">
        <v>4</v>
      </c>
      <c r="C142" s="193"/>
      <c r="D142" s="62" t="str">
        <f>INDEX(fields[name],MATCH($B142,fields[field],0))</f>
        <v>Κ Ποδόσφαιρο</v>
      </c>
      <c r="E142" s="53" t="str">
        <f t="array" aca="1" ref="E142" ca="1">IF(ISBLANK($A142),"",INDEX(games[th],MATCH(1,(games[r]=$A142)*(games[field]=$B142),0)))</f>
        <v/>
      </c>
      <c r="F142" s="59" t="str">
        <f ca="1">_xlfn.IFNA(INDEX(teams[name],MATCH(E142,teams[id],0)),"")</f>
        <v/>
      </c>
      <c r="G142" s="56" t="str">
        <f t="array" aca="1" ref="G142" ca="1">IF(ISBLANK($A142),"",INDEX(games[ta],MATCH(1,(games[r]=$A142)*(games[field]=$B142),0)))</f>
        <v/>
      </c>
      <c r="H142" s="59" t="str">
        <f ca="1">_xlfn.IFNA(INDEX(teams[name],MATCH(G142,teams[id],0)),"")</f>
        <v/>
      </c>
      <c r="I142" s="46"/>
      <c r="J142" s="47"/>
      <c r="K142" s="48"/>
      <c r="L142" s="42" t="b">
        <f t="shared" si="17"/>
        <v>0</v>
      </c>
    </row>
    <row r="143" spans="1:12" ht="18" customHeight="1" x14ac:dyDescent="0.3">
      <c r="A143" s="41">
        <f t="shared" si="16"/>
        <v>26</v>
      </c>
      <c r="B143" s="41" t="s">
        <v>5</v>
      </c>
      <c r="C143" s="193"/>
      <c r="D143" s="62" t="str">
        <f>INDEX(fields[name],MATCH($B143,fields[field],0))</f>
        <v>Μπάσκετ</v>
      </c>
      <c r="E143" s="53" t="str">
        <f t="array" aca="1" ref="E143" ca="1">IF(ISBLANK($A143),"",INDEX(games[th],MATCH(1,(games[r]=$A143)*(games[field]=$B143),0)))</f>
        <v/>
      </c>
      <c r="F143" s="59" t="str">
        <f ca="1">_xlfn.IFNA(INDEX(teams[name],MATCH(E143,teams[id],0)),"")</f>
        <v/>
      </c>
      <c r="G143" s="56" t="str">
        <f t="array" aca="1" ref="G143" ca="1">IF(ISBLANK($A143),"",INDEX(games[ta],MATCH(1,(games[r]=$A143)*(games[field]=$B143),0)))</f>
        <v/>
      </c>
      <c r="H143" s="59" t="str">
        <f ca="1">_xlfn.IFNA(INDEX(teams[name],MATCH(G143,teams[id],0)),"")</f>
        <v/>
      </c>
      <c r="I143" s="46"/>
      <c r="J143" s="47"/>
      <c r="K143" s="48"/>
      <c r="L143" s="42" t="b">
        <f t="shared" si="17"/>
        <v>0</v>
      </c>
    </row>
    <row r="144" spans="1:12" ht="18" customHeight="1" x14ac:dyDescent="0.3">
      <c r="A144" s="41">
        <f t="shared" si="16"/>
        <v>26</v>
      </c>
      <c r="B144" s="41" t="s">
        <v>53</v>
      </c>
      <c r="C144" s="196"/>
      <c r="D144" s="65" t="str">
        <f>INDEX(fields[name],MATCH($B144,fields[field],0))</f>
        <v>Βόλεϊ</v>
      </c>
      <c r="E144" s="66" t="str">
        <f t="array" aca="1" ref="E144" ca="1">IF(ISBLANK($A144),"",INDEX(games[th],MATCH(1,(games[r]=$A144)*(games[field]=$B144),0)))</f>
        <v/>
      </c>
      <c r="F144" s="67" t="str">
        <f ca="1">_xlfn.IFNA(INDEX(teams[name],MATCH(E144,teams[id],0)),"")</f>
        <v/>
      </c>
      <c r="G144" s="68" t="str">
        <f t="array" aca="1" ref="G144" ca="1">IF(ISBLANK($A144),"",INDEX(games[ta],MATCH(1,(games[r]=$A144)*(games[field]=$B144),0)))</f>
        <v/>
      </c>
      <c r="H144" s="67" t="str">
        <f ca="1">_xlfn.IFNA(INDEX(teams[name],MATCH(G144,teams[id],0)),"")</f>
        <v/>
      </c>
      <c r="I144" s="69"/>
      <c r="J144" s="70"/>
      <c r="K144" s="71"/>
      <c r="L144" s="42" t="b">
        <f t="shared" si="17"/>
        <v>0</v>
      </c>
    </row>
    <row r="145" spans="1:12" ht="18" customHeight="1" thickBot="1" x14ac:dyDescent="0.35">
      <c r="A145" s="41">
        <f t="shared" si="16"/>
        <v>26</v>
      </c>
      <c r="B145" s="41" t="s">
        <v>54</v>
      </c>
      <c r="C145" s="197"/>
      <c r="D145" s="63" t="str">
        <f>INDEX(fields[name],MATCH($B145,fields[field],0))</f>
        <v>Μπέιζμπολ</v>
      </c>
      <c r="E145" s="54" t="str">
        <f t="array" aca="1" ref="E145" ca="1">IF(ISBLANK($A145),"",INDEX(games[th],MATCH(1,(games[r]=$A145)*(games[field]=$B145),0)))</f>
        <v/>
      </c>
      <c r="F145" s="60" t="str">
        <f ca="1">_xlfn.IFNA(INDEX(teams[name],MATCH(E145,teams[id],0)),"")</f>
        <v/>
      </c>
      <c r="G145" s="57" t="str">
        <f t="array" aca="1" ref="G145" ca="1">IF(ISBLANK($A145),"",INDEX(games[ta],MATCH(1,(games[r]=$A145)*(games[field]=$B145),0)))</f>
        <v/>
      </c>
      <c r="H145" s="60" t="str">
        <f ca="1">_xlfn.IFNA(INDEX(teams[name],MATCH(G145,teams[id],0)),"")</f>
        <v/>
      </c>
      <c r="I145" s="49"/>
      <c r="J145" s="50"/>
      <c r="K145" s="51"/>
      <c r="L145" s="42" t="b">
        <f t="shared" si="17"/>
        <v>0</v>
      </c>
    </row>
    <row r="146" spans="1:12" ht="18" customHeight="1" thickTop="1" x14ac:dyDescent="0.3">
      <c r="A146" s="41">
        <f t="shared" si="16"/>
        <v>27</v>
      </c>
      <c r="B146" s="41" t="s">
        <v>3</v>
      </c>
      <c r="C146" s="192" t="s">
        <v>50</v>
      </c>
      <c r="D146" s="61" t="str">
        <f>INDEX(fields[name],MATCH($B146,fields[field],0))</f>
        <v>Π Ποδόσφαιρο</v>
      </c>
      <c r="E146" s="52" t="str">
        <f t="array" aca="1" ref="E146" ca="1">IF(ISBLANK($A146),"",INDEX(games[th],MATCH(1,(games[r]=$A146)*(games[field]=$B146),0)))</f>
        <v/>
      </c>
      <c r="F146" s="58" t="str">
        <f ca="1">_xlfn.IFNA(INDEX(teams[name],MATCH(E146,teams[id],0)),"")</f>
        <v/>
      </c>
      <c r="G146" s="55" t="str">
        <f t="array" aca="1" ref="G146" ca="1">IF(ISBLANK($A146),"",INDEX(games[ta],MATCH(1,(games[r]=$A146)*(games[field]=$B146),0)))</f>
        <v/>
      </c>
      <c r="H146" s="58" t="str">
        <f ca="1">_xlfn.IFNA(INDEX(teams[name],MATCH(G146,teams[id],0)),"")</f>
        <v/>
      </c>
      <c r="I146" s="43"/>
      <c r="J146" s="44"/>
      <c r="K146" s="45"/>
      <c r="L146" s="42" t="b">
        <f>NOT(OR(ISBLANK($I146),ISBLANK($J146)))</f>
        <v>0</v>
      </c>
    </row>
    <row r="147" spans="1:12" ht="18" customHeight="1" x14ac:dyDescent="0.3">
      <c r="A147" s="41">
        <f t="shared" si="16"/>
        <v>27</v>
      </c>
      <c r="B147" s="41" t="s">
        <v>4</v>
      </c>
      <c r="C147" s="193"/>
      <c r="D147" s="62" t="str">
        <f>INDEX(fields[name],MATCH($B147,fields[field],0))</f>
        <v>Κ Ποδόσφαιρο</v>
      </c>
      <c r="E147" s="53" t="str">
        <f t="array" aca="1" ref="E147" ca="1">IF(ISBLANK($A147),"",INDEX(games[th],MATCH(1,(games[r]=$A147)*(games[field]=$B147),0)))</f>
        <v/>
      </c>
      <c r="F147" s="59" t="str">
        <f ca="1">_xlfn.IFNA(INDEX(teams[name],MATCH(E147,teams[id],0)),"")</f>
        <v/>
      </c>
      <c r="G147" s="56" t="str">
        <f t="array" aca="1" ref="G147" ca="1">IF(ISBLANK($A147),"",INDEX(games[ta],MATCH(1,(games[r]=$A147)*(games[field]=$B147),0)))</f>
        <v/>
      </c>
      <c r="H147" s="59" t="str">
        <f ca="1">_xlfn.IFNA(INDEX(teams[name],MATCH(G147,teams[id],0)),"")</f>
        <v/>
      </c>
      <c r="I147" s="46"/>
      <c r="J147" s="47"/>
      <c r="K147" s="48"/>
      <c r="L147" s="42" t="b">
        <f t="shared" ref="L147:L155" si="18">NOT(OR(ISBLANK($I147),ISBLANK($J147)))</f>
        <v>0</v>
      </c>
    </row>
    <row r="148" spans="1:12" ht="18" customHeight="1" x14ac:dyDescent="0.3">
      <c r="A148" s="41">
        <f t="shared" si="16"/>
        <v>27</v>
      </c>
      <c r="B148" s="41" t="s">
        <v>5</v>
      </c>
      <c r="C148" s="193"/>
      <c r="D148" s="62" t="str">
        <f>INDEX(fields[name],MATCH($B148,fields[field],0))</f>
        <v>Μπάσκετ</v>
      </c>
      <c r="E148" s="53" t="str">
        <f t="array" aca="1" ref="E148" ca="1">IF(ISBLANK($A148),"",INDEX(games[th],MATCH(1,(games[r]=$A148)*(games[field]=$B148),0)))</f>
        <v/>
      </c>
      <c r="F148" s="59" t="str">
        <f ca="1">_xlfn.IFNA(INDEX(teams[name],MATCH(E148,teams[id],0)),"")</f>
        <v/>
      </c>
      <c r="G148" s="56" t="str">
        <f t="array" aca="1" ref="G148" ca="1">IF(ISBLANK($A148),"",INDEX(games[ta],MATCH(1,(games[r]=$A148)*(games[field]=$B148),0)))</f>
        <v/>
      </c>
      <c r="H148" s="59" t="str">
        <f ca="1">_xlfn.IFNA(INDEX(teams[name],MATCH(G148,teams[id],0)),"")</f>
        <v/>
      </c>
      <c r="I148" s="46"/>
      <c r="J148" s="47"/>
      <c r="K148" s="48"/>
      <c r="L148" s="42" t="b">
        <f t="shared" si="18"/>
        <v>0</v>
      </c>
    </row>
    <row r="149" spans="1:12" ht="18" customHeight="1" x14ac:dyDescent="0.3">
      <c r="A149" s="41">
        <f t="shared" si="16"/>
        <v>27</v>
      </c>
      <c r="B149" s="41" t="s">
        <v>53</v>
      </c>
      <c r="C149" s="193"/>
      <c r="D149" s="62" t="str">
        <f>INDEX(fields[name],MATCH($B149,fields[field],0))</f>
        <v>Βόλεϊ</v>
      </c>
      <c r="E149" s="53" t="str">
        <f t="array" aca="1" ref="E149" ca="1">IF(ISBLANK($A149),"",INDEX(games[th],MATCH(1,(games[r]=$A149)*(games[field]=$B149),0)))</f>
        <v/>
      </c>
      <c r="F149" s="59" t="str">
        <f ca="1">_xlfn.IFNA(INDEX(teams[name],MATCH(E149,teams[id],0)),"")</f>
        <v/>
      </c>
      <c r="G149" s="56" t="str">
        <f t="array" aca="1" ref="G149" ca="1">IF(ISBLANK($A149),"",INDEX(games[ta],MATCH(1,(games[r]=$A149)*(games[field]=$B149),0)))</f>
        <v/>
      </c>
      <c r="H149" s="59" t="str">
        <f ca="1">_xlfn.IFNA(INDEX(teams[name],MATCH(G149,teams[id],0)),"")</f>
        <v/>
      </c>
      <c r="I149" s="46"/>
      <c r="J149" s="47"/>
      <c r="K149" s="48"/>
      <c r="L149" s="42" t="b">
        <f t="shared" si="18"/>
        <v>0</v>
      </c>
    </row>
    <row r="150" spans="1:12" ht="18" customHeight="1" x14ac:dyDescent="0.3">
      <c r="A150" s="41">
        <f t="shared" si="16"/>
        <v>27</v>
      </c>
      <c r="B150" s="41" t="s">
        <v>54</v>
      </c>
      <c r="C150" s="194"/>
      <c r="D150" s="79" t="str">
        <f>INDEX(fields[name],MATCH($B150,fields[field],0))</f>
        <v>Μπέιζμπολ</v>
      </c>
      <c r="E150" s="80" t="str">
        <f t="array" aca="1" ref="E150" ca="1">IF(ISBLANK($A150),"",INDEX(games[th],MATCH(1,(games[r]=$A150)*(games[field]=$B150),0)))</f>
        <v/>
      </c>
      <c r="F150" s="81" t="str">
        <f ca="1">_xlfn.IFNA(INDEX(teams[name],MATCH(E150,teams[id],0)),"")</f>
        <v/>
      </c>
      <c r="G150" s="82" t="str">
        <f t="array" aca="1" ref="G150" ca="1">IF(ISBLANK($A150),"",INDEX(games[ta],MATCH(1,(games[r]=$A150)*(games[field]=$B150),0)))</f>
        <v/>
      </c>
      <c r="H150" s="81" t="str">
        <f ca="1">_xlfn.IFNA(INDEX(teams[name],MATCH(G150,teams[id],0)),"")</f>
        <v/>
      </c>
      <c r="I150" s="83"/>
      <c r="J150" s="84"/>
      <c r="K150" s="85"/>
      <c r="L150" s="42" t="b">
        <f t="shared" si="18"/>
        <v>0</v>
      </c>
    </row>
    <row r="151" spans="1:12" ht="18" customHeight="1" x14ac:dyDescent="0.3">
      <c r="A151" s="41">
        <f t="shared" si="16"/>
        <v>28</v>
      </c>
      <c r="B151" s="41" t="s">
        <v>3</v>
      </c>
      <c r="C151" s="195" t="s">
        <v>51</v>
      </c>
      <c r="D151" s="72" t="str">
        <f>INDEX(fields[name],MATCH($B151,fields[field],0))</f>
        <v>Π Ποδόσφαιρο</v>
      </c>
      <c r="E151" s="73" t="str">
        <f t="array" aca="1" ref="E151" ca="1">IF(ISBLANK($A151),"",INDEX(games[th],MATCH(1,(games[r]=$A151)*(games[field]=$B151),0)))</f>
        <v/>
      </c>
      <c r="F151" s="74" t="str">
        <f ca="1">_xlfn.IFNA(INDEX(teams[name],MATCH(E151,teams[id],0)),"")</f>
        <v/>
      </c>
      <c r="G151" s="75" t="str">
        <f t="array" aca="1" ref="G151" ca="1">IF(ISBLANK($A151),"",INDEX(games[ta],MATCH(1,(games[r]=$A151)*(games[field]=$B151),0)))</f>
        <v/>
      </c>
      <c r="H151" s="74" t="str">
        <f ca="1">_xlfn.IFNA(INDEX(teams[name],MATCH(G151,teams[id],0)),"")</f>
        <v/>
      </c>
      <c r="I151" s="76"/>
      <c r="J151" s="77"/>
      <c r="K151" s="78"/>
      <c r="L151" s="42" t="b">
        <f t="shared" si="18"/>
        <v>0</v>
      </c>
    </row>
    <row r="152" spans="1:12" ht="18" customHeight="1" x14ac:dyDescent="0.3">
      <c r="A152" s="41">
        <f t="shared" si="16"/>
        <v>28</v>
      </c>
      <c r="B152" s="41" t="s">
        <v>4</v>
      </c>
      <c r="C152" s="193"/>
      <c r="D152" s="62" t="str">
        <f>INDEX(fields[name],MATCH($B152,fields[field],0))</f>
        <v>Κ Ποδόσφαιρο</v>
      </c>
      <c r="E152" s="53" t="str">
        <f t="array" aca="1" ref="E152" ca="1">IF(ISBLANK($A152),"",INDEX(games[th],MATCH(1,(games[r]=$A152)*(games[field]=$B152),0)))</f>
        <v/>
      </c>
      <c r="F152" s="59" t="str">
        <f ca="1">_xlfn.IFNA(INDEX(teams[name],MATCH(E152,teams[id],0)),"")</f>
        <v/>
      </c>
      <c r="G152" s="56" t="str">
        <f t="array" aca="1" ref="G152" ca="1">IF(ISBLANK($A152),"",INDEX(games[ta],MATCH(1,(games[r]=$A152)*(games[field]=$B152),0)))</f>
        <v/>
      </c>
      <c r="H152" s="59" t="str">
        <f ca="1">_xlfn.IFNA(INDEX(teams[name],MATCH(G152,teams[id],0)),"")</f>
        <v/>
      </c>
      <c r="I152" s="46"/>
      <c r="J152" s="47"/>
      <c r="K152" s="48"/>
      <c r="L152" s="42" t="b">
        <f t="shared" si="18"/>
        <v>0</v>
      </c>
    </row>
    <row r="153" spans="1:12" ht="18" customHeight="1" x14ac:dyDescent="0.3">
      <c r="A153" s="41">
        <f t="shared" si="16"/>
        <v>28</v>
      </c>
      <c r="B153" s="41" t="s">
        <v>5</v>
      </c>
      <c r="C153" s="193"/>
      <c r="D153" s="62" t="str">
        <f>INDEX(fields[name],MATCH($B153,fields[field],0))</f>
        <v>Μπάσκετ</v>
      </c>
      <c r="E153" s="53" t="str">
        <f t="array" aca="1" ref="E153" ca="1">IF(ISBLANK($A153),"",INDEX(games[th],MATCH(1,(games[r]=$A153)*(games[field]=$B153),0)))</f>
        <v/>
      </c>
      <c r="F153" s="59" t="str">
        <f ca="1">_xlfn.IFNA(INDEX(teams[name],MATCH(E153,teams[id],0)),"")</f>
        <v/>
      </c>
      <c r="G153" s="56" t="str">
        <f t="array" aca="1" ref="G153" ca="1">IF(ISBLANK($A153),"",INDEX(games[ta],MATCH(1,(games[r]=$A153)*(games[field]=$B153),0)))</f>
        <v/>
      </c>
      <c r="H153" s="59" t="str">
        <f ca="1">_xlfn.IFNA(INDEX(teams[name],MATCH(G153,teams[id],0)),"")</f>
        <v/>
      </c>
      <c r="I153" s="46"/>
      <c r="J153" s="47"/>
      <c r="K153" s="48"/>
      <c r="L153" s="42" t="b">
        <f t="shared" si="18"/>
        <v>0</v>
      </c>
    </row>
    <row r="154" spans="1:12" ht="18" customHeight="1" x14ac:dyDescent="0.3">
      <c r="A154" s="41">
        <f t="shared" si="16"/>
        <v>28</v>
      </c>
      <c r="B154" s="41" t="s">
        <v>53</v>
      </c>
      <c r="C154" s="196"/>
      <c r="D154" s="65" t="str">
        <f>INDEX(fields[name],MATCH($B154,fields[field],0))</f>
        <v>Βόλεϊ</v>
      </c>
      <c r="E154" s="66" t="str">
        <f t="array" aca="1" ref="E154" ca="1">IF(ISBLANK($A154),"",INDEX(games[th],MATCH(1,(games[r]=$A154)*(games[field]=$B154),0)))</f>
        <v/>
      </c>
      <c r="F154" s="67" t="str">
        <f ca="1">_xlfn.IFNA(INDEX(teams[name],MATCH(E154,teams[id],0)),"")</f>
        <v/>
      </c>
      <c r="G154" s="68" t="str">
        <f t="array" aca="1" ref="G154" ca="1">IF(ISBLANK($A154),"",INDEX(games[ta],MATCH(1,(games[r]=$A154)*(games[field]=$B154),0)))</f>
        <v/>
      </c>
      <c r="H154" s="67" t="str">
        <f ca="1">_xlfn.IFNA(INDEX(teams[name],MATCH(G154,teams[id],0)),"")</f>
        <v/>
      </c>
      <c r="I154" s="69"/>
      <c r="J154" s="70"/>
      <c r="K154" s="71"/>
      <c r="L154" s="42" t="b">
        <f t="shared" si="18"/>
        <v>0</v>
      </c>
    </row>
    <row r="155" spans="1:12" ht="18" customHeight="1" thickBot="1" x14ac:dyDescent="0.35">
      <c r="A155" s="41">
        <f t="shared" si="16"/>
        <v>28</v>
      </c>
      <c r="B155" s="41" t="s">
        <v>54</v>
      </c>
      <c r="C155" s="198"/>
      <c r="D155" s="64" t="str">
        <f>INDEX(fields[name],MATCH($B155,fields[field],0))</f>
        <v>Μπέιζμπολ</v>
      </c>
      <c r="E155" s="54" t="str">
        <f t="array" aca="1" ref="E155" ca="1">IF(ISBLANK($A155),"",INDEX(games[th],MATCH(1,(games[r]=$A155)*(games[field]=$B155),0)))</f>
        <v/>
      </c>
      <c r="F155" s="60" t="str">
        <f ca="1">_xlfn.IFNA(INDEX(teams[name],MATCH(E155,teams[id],0)),"")</f>
        <v/>
      </c>
      <c r="G155" s="57" t="str">
        <f t="array" aca="1" ref="G155" ca="1">IF(ISBLANK($A155),"",INDEX(games[ta],MATCH(1,(games[r]=$A155)*(games[field]=$B155),0)))</f>
        <v/>
      </c>
      <c r="H155" s="60" t="str">
        <f ca="1">_xlfn.IFNA(INDEX(teams[name],MATCH(G155,teams[id],0)),"")</f>
        <v/>
      </c>
      <c r="I155" s="88"/>
      <c r="J155" s="89"/>
      <c r="K155" s="90"/>
      <c r="L155" s="42" t="b">
        <f t="shared" si="18"/>
        <v>0</v>
      </c>
    </row>
    <row r="156" spans="1:12" ht="18" customHeight="1" thickBot="1" x14ac:dyDescent="0.35"/>
    <row r="157" spans="1:12" ht="18" customHeight="1" thickBot="1" x14ac:dyDescent="0.35">
      <c r="C157" s="189">
        <f>C135+1</f>
        <v>46251</v>
      </c>
      <c r="D157" s="190"/>
      <c r="E157" s="190"/>
      <c r="F157" s="190"/>
      <c r="G157" s="190"/>
      <c r="H157" s="190"/>
      <c r="I157" s="190"/>
      <c r="J157" s="190"/>
      <c r="K157" s="191"/>
    </row>
    <row r="158" spans="1:12" ht="18" customHeight="1" thickTop="1" x14ac:dyDescent="0.3">
      <c r="A158" s="41">
        <f>A136+4</f>
        <v>29</v>
      </c>
      <c r="B158" s="41" t="s">
        <v>3</v>
      </c>
      <c r="C158" s="192" t="s">
        <v>48</v>
      </c>
      <c r="D158" s="61" t="str">
        <f>INDEX(fields[name],MATCH($B158,fields[field],0))</f>
        <v>Π Ποδόσφαιρο</v>
      </c>
      <c r="E158" s="52" t="str">
        <f t="array" aca="1" ref="E158" ca="1">IF(ISBLANK($A158),"",INDEX(games[th],MATCH(1,(games[r]=$A158)*(games[field]=$B158),0)))</f>
        <v/>
      </c>
      <c r="F158" s="58" t="str">
        <f ca="1">_xlfn.IFNA(INDEX(teams[name],MATCH(E158,teams[id],0)),"")</f>
        <v/>
      </c>
      <c r="G158" s="55" t="str">
        <f t="array" aca="1" ref="G158" ca="1">IF(ISBLANK($A158),"",INDEX(games[ta],MATCH(1,(games[r]=$A158)*(games[field]=$B158),0)))</f>
        <v/>
      </c>
      <c r="H158" s="58" t="str">
        <f ca="1">_xlfn.IFNA(INDEX(teams[name],MATCH(G158,teams[id],0)),"")</f>
        <v/>
      </c>
      <c r="I158" s="43"/>
      <c r="J158" s="44"/>
      <c r="K158" s="45"/>
      <c r="L158" s="42" t="b">
        <f>NOT(OR(ISBLANK($I158),ISBLANK($J158)))</f>
        <v>0</v>
      </c>
    </row>
    <row r="159" spans="1:12" ht="18" customHeight="1" x14ac:dyDescent="0.3">
      <c r="A159" s="41">
        <f t="shared" ref="A159:A177" si="19">A137+4</f>
        <v>29</v>
      </c>
      <c r="B159" s="41" t="s">
        <v>4</v>
      </c>
      <c r="C159" s="193"/>
      <c r="D159" s="62" t="str">
        <f>INDEX(fields[name],MATCH($B159,fields[field],0))</f>
        <v>Κ Ποδόσφαιρο</v>
      </c>
      <c r="E159" s="53" t="str">
        <f t="array" aca="1" ref="E159" ca="1">IF(ISBLANK($A159),"",INDEX(games[th],MATCH(1,(games[r]=$A159)*(games[field]=$B159),0)))</f>
        <v/>
      </c>
      <c r="F159" s="59" t="str">
        <f ca="1">_xlfn.IFNA(INDEX(teams[name],MATCH(E159,teams[id],0)),"")</f>
        <v/>
      </c>
      <c r="G159" s="56" t="str">
        <f t="array" aca="1" ref="G159" ca="1">IF(ISBLANK($A159),"",INDEX(games[ta],MATCH(1,(games[r]=$A159)*(games[field]=$B159),0)))</f>
        <v/>
      </c>
      <c r="H159" s="59" t="str">
        <f ca="1">_xlfn.IFNA(INDEX(teams[name],MATCH(G159,teams[id],0)),"")</f>
        <v/>
      </c>
      <c r="I159" s="46"/>
      <c r="J159" s="47"/>
      <c r="K159" s="48"/>
      <c r="L159" s="42" t="b">
        <f t="shared" ref="L159:L167" si="20">NOT(OR(ISBLANK($I159),ISBLANK($J159)))</f>
        <v>0</v>
      </c>
    </row>
    <row r="160" spans="1:12" ht="18" customHeight="1" x14ac:dyDescent="0.3">
      <c r="A160" s="41">
        <f t="shared" si="19"/>
        <v>29</v>
      </c>
      <c r="B160" s="41" t="s">
        <v>5</v>
      </c>
      <c r="C160" s="193"/>
      <c r="D160" s="62" t="str">
        <f>INDEX(fields[name],MATCH($B160,fields[field],0))</f>
        <v>Μπάσκετ</v>
      </c>
      <c r="E160" s="53" t="str">
        <f t="array" aca="1" ref="E160" ca="1">IF(ISBLANK($A160),"",INDEX(games[th],MATCH(1,(games[r]=$A160)*(games[field]=$B160),0)))</f>
        <v/>
      </c>
      <c r="F160" s="59" t="str">
        <f ca="1">_xlfn.IFNA(INDEX(teams[name],MATCH(E160,teams[id],0)),"")</f>
        <v/>
      </c>
      <c r="G160" s="56" t="str">
        <f t="array" aca="1" ref="G160" ca="1">IF(ISBLANK($A160),"",INDEX(games[ta],MATCH(1,(games[r]=$A160)*(games[field]=$B160),0)))</f>
        <v/>
      </c>
      <c r="H160" s="59" t="str">
        <f ca="1">_xlfn.IFNA(INDEX(teams[name],MATCH(G160,teams[id],0)),"")</f>
        <v/>
      </c>
      <c r="I160" s="46"/>
      <c r="J160" s="47"/>
      <c r="K160" s="48"/>
      <c r="L160" s="42" t="b">
        <f t="shared" si="20"/>
        <v>0</v>
      </c>
    </row>
    <row r="161" spans="1:12" ht="18" customHeight="1" x14ac:dyDescent="0.3">
      <c r="A161" s="41">
        <f t="shared" si="19"/>
        <v>29</v>
      </c>
      <c r="B161" s="41" t="s">
        <v>53</v>
      </c>
      <c r="C161" s="193"/>
      <c r="D161" s="62" t="str">
        <f>INDEX(fields[name],MATCH($B161,fields[field],0))</f>
        <v>Βόλεϊ</v>
      </c>
      <c r="E161" s="53" t="str">
        <f t="array" aca="1" ref="E161" ca="1">IF(ISBLANK($A161),"",INDEX(games[th],MATCH(1,(games[r]=$A161)*(games[field]=$B161),0)))</f>
        <v/>
      </c>
      <c r="F161" s="59" t="str">
        <f ca="1">_xlfn.IFNA(INDEX(teams[name],MATCH(E161,teams[id],0)),"")</f>
        <v/>
      </c>
      <c r="G161" s="56" t="str">
        <f t="array" aca="1" ref="G161" ca="1">IF(ISBLANK($A161),"",INDEX(games[ta],MATCH(1,(games[r]=$A161)*(games[field]=$B161),0)))</f>
        <v/>
      </c>
      <c r="H161" s="59" t="str">
        <f ca="1">_xlfn.IFNA(INDEX(teams[name],MATCH(G161,teams[id],0)),"")</f>
        <v/>
      </c>
      <c r="I161" s="46"/>
      <c r="J161" s="47"/>
      <c r="K161" s="48"/>
      <c r="L161" s="42" t="b">
        <f t="shared" si="20"/>
        <v>0</v>
      </c>
    </row>
    <row r="162" spans="1:12" ht="18" customHeight="1" x14ac:dyDescent="0.3">
      <c r="A162" s="41">
        <f t="shared" si="19"/>
        <v>29</v>
      </c>
      <c r="B162" s="41" t="s">
        <v>54</v>
      </c>
      <c r="C162" s="194"/>
      <c r="D162" s="79" t="str">
        <f>INDEX(fields[name],MATCH($B162,fields[field],0))</f>
        <v>Μπέιζμπολ</v>
      </c>
      <c r="E162" s="80" t="str">
        <f t="array" aca="1" ref="E162" ca="1">IF(ISBLANK($A162),"",INDEX(games[th],MATCH(1,(games[r]=$A162)*(games[field]=$B162),0)))</f>
        <v/>
      </c>
      <c r="F162" s="81" t="str">
        <f ca="1">_xlfn.IFNA(INDEX(teams[name],MATCH(E162,teams[id],0)),"")</f>
        <v/>
      </c>
      <c r="G162" s="82" t="str">
        <f t="array" aca="1" ref="G162" ca="1">IF(ISBLANK($A162),"",INDEX(games[ta],MATCH(1,(games[r]=$A162)*(games[field]=$B162),0)))</f>
        <v/>
      </c>
      <c r="H162" s="81" t="str">
        <f ca="1">_xlfn.IFNA(INDEX(teams[name],MATCH(G162,teams[id],0)),"")</f>
        <v/>
      </c>
      <c r="I162" s="83"/>
      <c r="J162" s="84"/>
      <c r="K162" s="85"/>
      <c r="L162" s="42" t="b">
        <f t="shared" si="20"/>
        <v>0</v>
      </c>
    </row>
    <row r="163" spans="1:12" ht="18" customHeight="1" x14ac:dyDescent="0.3">
      <c r="A163" s="41">
        <f t="shared" si="19"/>
        <v>30</v>
      </c>
      <c r="B163" s="41" t="s">
        <v>3</v>
      </c>
      <c r="C163" s="195" t="s">
        <v>49</v>
      </c>
      <c r="D163" s="72" t="str">
        <f>INDEX(fields[name],MATCH($B163,fields[field],0))</f>
        <v>Π Ποδόσφαιρο</v>
      </c>
      <c r="E163" s="73" t="str">
        <f t="array" aca="1" ref="E163" ca="1">IF(ISBLANK($A163),"",INDEX(games[th],MATCH(1,(games[r]=$A163)*(games[field]=$B163),0)))</f>
        <v/>
      </c>
      <c r="F163" s="74" t="str">
        <f ca="1">_xlfn.IFNA(INDEX(teams[name],MATCH(E163,teams[id],0)),"")</f>
        <v/>
      </c>
      <c r="G163" s="75" t="str">
        <f t="array" aca="1" ref="G163" ca="1">IF(ISBLANK($A163),"",INDEX(games[ta],MATCH(1,(games[r]=$A163)*(games[field]=$B163),0)))</f>
        <v/>
      </c>
      <c r="H163" s="74" t="str">
        <f ca="1">_xlfn.IFNA(INDEX(teams[name],MATCH(G163,teams[id],0)),"")</f>
        <v/>
      </c>
      <c r="I163" s="76"/>
      <c r="J163" s="77"/>
      <c r="K163" s="78"/>
      <c r="L163" s="42" t="b">
        <f t="shared" si="20"/>
        <v>0</v>
      </c>
    </row>
    <row r="164" spans="1:12" ht="18" customHeight="1" x14ac:dyDescent="0.3">
      <c r="A164" s="41">
        <f t="shared" si="19"/>
        <v>30</v>
      </c>
      <c r="B164" s="41" t="s">
        <v>4</v>
      </c>
      <c r="C164" s="193"/>
      <c r="D164" s="62" t="str">
        <f>INDEX(fields[name],MATCH($B164,fields[field],0))</f>
        <v>Κ Ποδόσφαιρο</v>
      </c>
      <c r="E164" s="53" t="str">
        <f t="array" aca="1" ref="E164" ca="1">IF(ISBLANK($A164),"",INDEX(games[th],MATCH(1,(games[r]=$A164)*(games[field]=$B164),0)))</f>
        <v/>
      </c>
      <c r="F164" s="59" t="str">
        <f ca="1">_xlfn.IFNA(INDEX(teams[name],MATCH(E164,teams[id],0)),"")</f>
        <v/>
      </c>
      <c r="G164" s="56" t="str">
        <f t="array" aca="1" ref="G164" ca="1">IF(ISBLANK($A164),"",INDEX(games[ta],MATCH(1,(games[r]=$A164)*(games[field]=$B164),0)))</f>
        <v/>
      </c>
      <c r="H164" s="59" t="str">
        <f ca="1">_xlfn.IFNA(INDEX(teams[name],MATCH(G164,teams[id],0)),"")</f>
        <v/>
      </c>
      <c r="I164" s="46"/>
      <c r="J164" s="47"/>
      <c r="K164" s="48"/>
      <c r="L164" s="42" t="b">
        <f t="shared" si="20"/>
        <v>0</v>
      </c>
    </row>
    <row r="165" spans="1:12" ht="18" customHeight="1" x14ac:dyDescent="0.3">
      <c r="A165" s="41">
        <f t="shared" si="19"/>
        <v>30</v>
      </c>
      <c r="B165" s="41" t="s">
        <v>5</v>
      </c>
      <c r="C165" s="193"/>
      <c r="D165" s="62" t="str">
        <f>INDEX(fields[name],MATCH($B165,fields[field],0))</f>
        <v>Μπάσκετ</v>
      </c>
      <c r="E165" s="53" t="str">
        <f t="array" aca="1" ref="E165" ca="1">IF(ISBLANK($A165),"",INDEX(games[th],MATCH(1,(games[r]=$A165)*(games[field]=$B165),0)))</f>
        <v/>
      </c>
      <c r="F165" s="59" t="str">
        <f ca="1">_xlfn.IFNA(INDEX(teams[name],MATCH(E165,teams[id],0)),"")</f>
        <v/>
      </c>
      <c r="G165" s="56" t="str">
        <f t="array" aca="1" ref="G165" ca="1">IF(ISBLANK($A165),"",INDEX(games[ta],MATCH(1,(games[r]=$A165)*(games[field]=$B165),0)))</f>
        <v/>
      </c>
      <c r="H165" s="59" t="str">
        <f ca="1">_xlfn.IFNA(INDEX(teams[name],MATCH(G165,teams[id],0)),"")</f>
        <v/>
      </c>
      <c r="I165" s="46"/>
      <c r="J165" s="47"/>
      <c r="K165" s="48"/>
      <c r="L165" s="42" t="b">
        <f t="shared" si="20"/>
        <v>0</v>
      </c>
    </row>
    <row r="166" spans="1:12" ht="18" customHeight="1" x14ac:dyDescent="0.3">
      <c r="A166" s="41">
        <f t="shared" si="19"/>
        <v>30</v>
      </c>
      <c r="B166" s="41" t="s">
        <v>53</v>
      </c>
      <c r="C166" s="196"/>
      <c r="D166" s="65" t="str">
        <f>INDEX(fields[name],MATCH($B166,fields[field],0))</f>
        <v>Βόλεϊ</v>
      </c>
      <c r="E166" s="66" t="str">
        <f t="array" aca="1" ref="E166" ca="1">IF(ISBLANK($A166),"",INDEX(games[th],MATCH(1,(games[r]=$A166)*(games[field]=$B166),0)))</f>
        <v/>
      </c>
      <c r="F166" s="67" t="str">
        <f ca="1">_xlfn.IFNA(INDEX(teams[name],MATCH(E166,teams[id],0)),"")</f>
        <v/>
      </c>
      <c r="G166" s="68" t="str">
        <f t="array" aca="1" ref="G166" ca="1">IF(ISBLANK($A166),"",INDEX(games[ta],MATCH(1,(games[r]=$A166)*(games[field]=$B166),0)))</f>
        <v/>
      </c>
      <c r="H166" s="67" t="str">
        <f ca="1">_xlfn.IFNA(INDEX(teams[name],MATCH(G166,teams[id],0)),"")</f>
        <v/>
      </c>
      <c r="I166" s="69"/>
      <c r="J166" s="70"/>
      <c r="K166" s="71"/>
      <c r="L166" s="42" t="b">
        <f t="shared" si="20"/>
        <v>0</v>
      </c>
    </row>
    <row r="167" spans="1:12" ht="18" customHeight="1" thickBot="1" x14ac:dyDescent="0.35">
      <c r="A167" s="41">
        <f t="shared" si="19"/>
        <v>30</v>
      </c>
      <c r="B167" s="41" t="s">
        <v>54</v>
      </c>
      <c r="C167" s="197"/>
      <c r="D167" s="63" t="str">
        <f>INDEX(fields[name],MATCH($B167,fields[field],0))</f>
        <v>Μπέιζμπολ</v>
      </c>
      <c r="E167" s="54" t="str">
        <f t="array" aca="1" ref="E167" ca="1">IF(ISBLANK($A167),"",INDEX(games[th],MATCH(1,(games[r]=$A167)*(games[field]=$B167),0)))</f>
        <v/>
      </c>
      <c r="F167" s="60" t="str">
        <f ca="1">_xlfn.IFNA(INDEX(teams[name],MATCH(E167,teams[id],0)),"")</f>
        <v/>
      </c>
      <c r="G167" s="57" t="str">
        <f t="array" aca="1" ref="G167" ca="1">IF(ISBLANK($A167),"",INDEX(games[ta],MATCH(1,(games[r]=$A167)*(games[field]=$B167),0)))</f>
        <v/>
      </c>
      <c r="H167" s="60" t="str">
        <f ca="1">_xlfn.IFNA(INDEX(teams[name],MATCH(G167,teams[id],0)),"")</f>
        <v/>
      </c>
      <c r="I167" s="49"/>
      <c r="J167" s="50"/>
      <c r="K167" s="51"/>
      <c r="L167" s="42" t="b">
        <f t="shared" si="20"/>
        <v>0</v>
      </c>
    </row>
    <row r="168" spans="1:12" ht="18" customHeight="1" thickTop="1" x14ac:dyDescent="0.3">
      <c r="A168" s="41">
        <f t="shared" si="19"/>
        <v>31</v>
      </c>
      <c r="B168" s="41" t="s">
        <v>3</v>
      </c>
      <c r="C168" s="192" t="s">
        <v>50</v>
      </c>
      <c r="D168" s="61" t="str">
        <f>INDEX(fields[name],MATCH($B168,fields[field],0))</f>
        <v>Π Ποδόσφαιρο</v>
      </c>
      <c r="E168" s="52" t="str">
        <f t="array" aca="1" ref="E168" ca="1">IF(ISBLANK($A168),"",INDEX(games[th],MATCH(1,(games[r]=$A168)*(games[field]=$B168),0)))</f>
        <v/>
      </c>
      <c r="F168" s="58" t="str">
        <f ca="1">_xlfn.IFNA(INDEX(teams[name],MATCH(E168,teams[id],0)),"")</f>
        <v/>
      </c>
      <c r="G168" s="55" t="str">
        <f t="array" aca="1" ref="G168" ca="1">IF(ISBLANK($A168),"",INDEX(games[ta],MATCH(1,(games[r]=$A168)*(games[field]=$B168),0)))</f>
        <v/>
      </c>
      <c r="H168" s="58" t="str">
        <f ca="1">_xlfn.IFNA(INDEX(teams[name],MATCH(G168,teams[id],0)),"")</f>
        <v/>
      </c>
      <c r="I168" s="43"/>
      <c r="J168" s="44"/>
      <c r="K168" s="45"/>
      <c r="L168" s="42" t="b">
        <f>NOT(OR(ISBLANK($I168),ISBLANK($J168)))</f>
        <v>0</v>
      </c>
    </row>
    <row r="169" spans="1:12" ht="18" customHeight="1" x14ac:dyDescent="0.3">
      <c r="A169" s="41">
        <f t="shared" si="19"/>
        <v>31</v>
      </c>
      <c r="B169" s="41" t="s">
        <v>4</v>
      </c>
      <c r="C169" s="193"/>
      <c r="D169" s="62" t="str">
        <f>INDEX(fields[name],MATCH($B169,fields[field],0))</f>
        <v>Κ Ποδόσφαιρο</v>
      </c>
      <c r="E169" s="53" t="str">
        <f t="array" aca="1" ref="E169" ca="1">IF(ISBLANK($A169),"",INDEX(games[th],MATCH(1,(games[r]=$A169)*(games[field]=$B169),0)))</f>
        <v/>
      </c>
      <c r="F169" s="59" t="str">
        <f ca="1">_xlfn.IFNA(INDEX(teams[name],MATCH(E169,teams[id],0)),"")</f>
        <v/>
      </c>
      <c r="G169" s="56" t="str">
        <f t="array" aca="1" ref="G169" ca="1">IF(ISBLANK($A169),"",INDEX(games[ta],MATCH(1,(games[r]=$A169)*(games[field]=$B169),0)))</f>
        <v/>
      </c>
      <c r="H169" s="59" t="str">
        <f ca="1">_xlfn.IFNA(INDEX(teams[name],MATCH(G169,teams[id],0)),"")</f>
        <v/>
      </c>
      <c r="I169" s="46"/>
      <c r="J169" s="47"/>
      <c r="K169" s="48"/>
      <c r="L169" s="42" t="b">
        <f t="shared" ref="L169:L177" si="21">NOT(OR(ISBLANK($I169),ISBLANK($J169)))</f>
        <v>0</v>
      </c>
    </row>
    <row r="170" spans="1:12" ht="18" customHeight="1" x14ac:dyDescent="0.3">
      <c r="A170" s="41">
        <f t="shared" si="19"/>
        <v>31</v>
      </c>
      <c r="B170" s="41" t="s">
        <v>5</v>
      </c>
      <c r="C170" s="193"/>
      <c r="D170" s="62" t="str">
        <f>INDEX(fields[name],MATCH($B170,fields[field],0))</f>
        <v>Μπάσκετ</v>
      </c>
      <c r="E170" s="53" t="str">
        <f t="array" aca="1" ref="E170" ca="1">IF(ISBLANK($A170),"",INDEX(games[th],MATCH(1,(games[r]=$A170)*(games[field]=$B170),0)))</f>
        <v/>
      </c>
      <c r="F170" s="59" t="str">
        <f ca="1">_xlfn.IFNA(INDEX(teams[name],MATCH(E170,teams[id],0)),"")</f>
        <v/>
      </c>
      <c r="G170" s="56" t="str">
        <f t="array" aca="1" ref="G170" ca="1">IF(ISBLANK($A170),"",INDEX(games[ta],MATCH(1,(games[r]=$A170)*(games[field]=$B170),0)))</f>
        <v/>
      </c>
      <c r="H170" s="59" t="str">
        <f ca="1">_xlfn.IFNA(INDEX(teams[name],MATCH(G170,teams[id],0)),"")</f>
        <v/>
      </c>
      <c r="I170" s="46"/>
      <c r="J170" s="47"/>
      <c r="K170" s="48"/>
      <c r="L170" s="42" t="b">
        <f t="shared" si="21"/>
        <v>0</v>
      </c>
    </row>
    <row r="171" spans="1:12" ht="18" customHeight="1" x14ac:dyDescent="0.3">
      <c r="A171" s="41">
        <f t="shared" si="19"/>
        <v>31</v>
      </c>
      <c r="B171" s="41" t="s">
        <v>53</v>
      </c>
      <c r="C171" s="193"/>
      <c r="D171" s="62" t="str">
        <f>INDEX(fields[name],MATCH($B171,fields[field],0))</f>
        <v>Βόλεϊ</v>
      </c>
      <c r="E171" s="53" t="str">
        <f t="array" aca="1" ref="E171" ca="1">IF(ISBLANK($A171),"",INDEX(games[th],MATCH(1,(games[r]=$A171)*(games[field]=$B171),0)))</f>
        <v/>
      </c>
      <c r="F171" s="59" t="str">
        <f ca="1">_xlfn.IFNA(INDEX(teams[name],MATCH(E171,teams[id],0)),"")</f>
        <v/>
      </c>
      <c r="G171" s="56" t="str">
        <f t="array" aca="1" ref="G171" ca="1">IF(ISBLANK($A171),"",INDEX(games[ta],MATCH(1,(games[r]=$A171)*(games[field]=$B171),0)))</f>
        <v/>
      </c>
      <c r="H171" s="59" t="str">
        <f ca="1">_xlfn.IFNA(INDEX(teams[name],MATCH(G171,teams[id],0)),"")</f>
        <v/>
      </c>
      <c r="I171" s="46"/>
      <c r="J171" s="47"/>
      <c r="K171" s="48"/>
      <c r="L171" s="42" t="b">
        <f t="shared" si="21"/>
        <v>0</v>
      </c>
    </row>
    <row r="172" spans="1:12" ht="18" customHeight="1" x14ac:dyDescent="0.3">
      <c r="A172" s="41">
        <f t="shared" si="19"/>
        <v>31</v>
      </c>
      <c r="B172" s="41" t="s">
        <v>54</v>
      </c>
      <c r="C172" s="194"/>
      <c r="D172" s="79" t="str">
        <f>INDEX(fields[name],MATCH($B172,fields[field],0))</f>
        <v>Μπέιζμπολ</v>
      </c>
      <c r="E172" s="80" t="str">
        <f t="array" aca="1" ref="E172" ca="1">IF(ISBLANK($A172),"",INDEX(games[th],MATCH(1,(games[r]=$A172)*(games[field]=$B172),0)))</f>
        <v/>
      </c>
      <c r="F172" s="81" t="str">
        <f ca="1">_xlfn.IFNA(INDEX(teams[name],MATCH(E172,teams[id],0)),"")</f>
        <v/>
      </c>
      <c r="G172" s="82" t="str">
        <f t="array" aca="1" ref="G172" ca="1">IF(ISBLANK($A172),"",INDEX(games[ta],MATCH(1,(games[r]=$A172)*(games[field]=$B172),0)))</f>
        <v/>
      </c>
      <c r="H172" s="81" t="str">
        <f ca="1">_xlfn.IFNA(INDEX(teams[name],MATCH(G172,teams[id],0)),"")</f>
        <v/>
      </c>
      <c r="I172" s="83"/>
      <c r="J172" s="84"/>
      <c r="K172" s="85"/>
      <c r="L172" s="42" t="b">
        <f t="shared" si="21"/>
        <v>0</v>
      </c>
    </row>
    <row r="173" spans="1:12" ht="18" customHeight="1" x14ac:dyDescent="0.3">
      <c r="A173" s="41">
        <f t="shared" si="19"/>
        <v>32</v>
      </c>
      <c r="B173" s="41" t="s">
        <v>3</v>
      </c>
      <c r="C173" s="195" t="s">
        <v>51</v>
      </c>
      <c r="D173" s="72" t="str">
        <f>INDEX(fields[name],MATCH($B173,fields[field],0))</f>
        <v>Π Ποδόσφαιρο</v>
      </c>
      <c r="E173" s="73" t="str">
        <f t="array" aca="1" ref="E173" ca="1">IF(ISBLANK($A173),"",INDEX(games[th],MATCH(1,(games[r]=$A173)*(games[field]=$B173),0)))</f>
        <v/>
      </c>
      <c r="F173" s="74" t="str">
        <f ca="1">_xlfn.IFNA(INDEX(teams[name],MATCH(E173,teams[id],0)),"")</f>
        <v/>
      </c>
      <c r="G173" s="75" t="str">
        <f t="array" aca="1" ref="G173" ca="1">IF(ISBLANK($A173),"",INDEX(games[ta],MATCH(1,(games[r]=$A173)*(games[field]=$B173),0)))</f>
        <v/>
      </c>
      <c r="H173" s="74" t="str">
        <f ca="1">_xlfn.IFNA(INDEX(teams[name],MATCH(G173,teams[id],0)),"")</f>
        <v/>
      </c>
      <c r="I173" s="76"/>
      <c r="J173" s="77"/>
      <c r="K173" s="78"/>
      <c r="L173" s="42" t="b">
        <f t="shared" si="21"/>
        <v>0</v>
      </c>
    </row>
    <row r="174" spans="1:12" ht="18" customHeight="1" x14ac:dyDescent="0.3">
      <c r="A174" s="41">
        <f t="shared" si="19"/>
        <v>32</v>
      </c>
      <c r="B174" s="41" t="s">
        <v>4</v>
      </c>
      <c r="C174" s="193"/>
      <c r="D174" s="62" t="str">
        <f>INDEX(fields[name],MATCH($B174,fields[field],0))</f>
        <v>Κ Ποδόσφαιρο</v>
      </c>
      <c r="E174" s="53" t="str">
        <f t="array" aca="1" ref="E174" ca="1">IF(ISBLANK($A174),"",INDEX(games[th],MATCH(1,(games[r]=$A174)*(games[field]=$B174),0)))</f>
        <v/>
      </c>
      <c r="F174" s="59" t="str">
        <f ca="1">_xlfn.IFNA(INDEX(teams[name],MATCH(E174,teams[id],0)),"")</f>
        <v/>
      </c>
      <c r="G174" s="56" t="str">
        <f t="array" aca="1" ref="G174" ca="1">IF(ISBLANK($A174),"",INDEX(games[ta],MATCH(1,(games[r]=$A174)*(games[field]=$B174),0)))</f>
        <v/>
      </c>
      <c r="H174" s="59" t="str">
        <f ca="1">_xlfn.IFNA(INDEX(teams[name],MATCH(G174,teams[id],0)),"")</f>
        <v/>
      </c>
      <c r="I174" s="46"/>
      <c r="J174" s="47"/>
      <c r="K174" s="48"/>
      <c r="L174" s="42" t="b">
        <f t="shared" si="21"/>
        <v>0</v>
      </c>
    </row>
    <row r="175" spans="1:12" ht="18" customHeight="1" x14ac:dyDescent="0.3">
      <c r="A175" s="41">
        <f t="shared" si="19"/>
        <v>32</v>
      </c>
      <c r="B175" s="41" t="s">
        <v>5</v>
      </c>
      <c r="C175" s="193"/>
      <c r="D175" s="62" t="str">
        <f>INDEX(fields[name],MATCH($B175,fields[field],0))</f>
        <v>Μπάσκετ</v>
      </c>
      <c r="E175" s="53" t="str">
        <f t="array" aca="1" ref="E175" ca="1">IF(ISBLANK($A175),"",INDEX(games[th],MATCH(1,(games[r]=$A175)*(games[field]=$B175),0)))</f>
        <v/>
      </c>
      <c r="F175" s="59" t="str">
        <f ca="1">_xlfn.IFNA(INDEX(teams[name],MATCH(E175,teams[id],0)),"")</f>
        <v/>
      </c>
      <c r="G175" s="56" t="str">
        <f t="array" aca="1" ref="G175" ca="1">IF(ISBLANK($A175),"",INDEX(games[ta],MATCH(1,(games[r]=$A175)*(games[field]=$B175),0)))</f>
        <v/>
      </c>
      <c r="H175" s="59" t="str">
        <f ca="1">_xlfn.IFNA(INDEX(teams[name],MATCH(G175,teams[id],0)),"")</f>
        <v/>
      </c>
      <c r="I175" s="46"/>
      <c r="J175" s="47"/>
      <c r="K175" s="48"/>
      <c r="L175" s="42" t="b">
        <f t="shared" si="21"/>
        <v>0</v>
      </c>
    </row>
    <row r="176" spans="1:12" ht="18" customHeight="1" x14ac:dyDescent="0.3">
      <c r="A176" s="41">
        <f t="shared" si="19"/>
        <v>32</v>
      </c>
      <c r="B176" s="41" t="s">
        <v>53</v>
      </c>
      <c r="C176" s="196"/>
      <c r="D176" s="65" t="str">
        <f>INDEX(fields[name],MATCH($B176,fields[field],0))</f>
        <v>Βόλεϊ</v>
      </c>
      <c r="E176" s="66" t="str">
        <f t="array" aca="1" ref="E176" ca="1">IF(ISBLANK($A176),"",INDEX(games[th],MATCH(1,(games[r]=$A176)*(games[field]=$B176),0)))</f>
        <v/>
      </c>
      <c r="F176" s="67" t="str">
        <f ca="1">_xlfn.IFNA(INDEX(teams[name],MATCH(E176,teams[id],0)),"")</f>
        <v/>
      </c>
      <c r="G176" s="68" t="str">
        <f t="array" aca="1" ref="G176" ca="1">IF(ISBLANK($A176),"",INDEX(games[ta],MATCH(1,(games[r]=$A176)*(games[field]=$B176),0)))</f>
        <v/>
      </c>
      <c r="H176" s="67" t="str">
        <f ca="1">_xlfn.IFNA(INDEX(teams[name],MATCH(G176,teams[id],0)),"")</f>
        <v/>
      </c>
      <c r="I176" s="69"/>
      <c r="J176" s="70"/>
      <c r="K176" s="71"/>
      <c r="L176" s="42" t="b">
        <f t="shared" si="21"/>
        <v>0</v>
      </c>
    </row>
    <row r="177" spans="1:12" ht="18" customHeight="1" thickBot="1" x14ac:dyDescent="0.35">
      <c r="A177" s="41">
        <f t="shared" si="19"/>
        <v>32</v>
      </c>
      <c r="B177" s="41" t="s">
        <v>54</v>
      </c>
      <c r="C177" s="198"/>
      <c r="D177" s="64" t="str">
        <f>INDEX(fields[name],MATCH($B177,fields[field],0))</f>
        <v>Μπέιζμπολ</v>
      </c>
      <c r="E177" s="54" t="str">
        <f t="array" aca="1" ref="E177" ca="1">IF(ISBLANK($A177),"",INDEX(games[th],MATCH(1,(games[r]=$A177)*(games[field]=$B177),0)))</f>
        <v/>
      </c>
      <c r="F177" s="60" t="str">
        <f ca="1">_xlfn.IFNA(INDEX(teams[name],MATCH(E177,teams[id],0)),"")</f>
        <v/>
      </c>
      <c r="G177" s="57" t="str">
        <f t="array" aca="1" ref="G177" ca="1">IF(ISBLANK($A177),"",INDEX(games[ta],MATCH(1,(games[r]=$A177)*(games[field]=$B177),0)))</f>
        <v/>
      </c>
      <c r="H177" s="60" t="str">
        <f ca="1">_xlfn.IFNA(INDEX(teams[name],MATCH(G177,teams[id],0)),"")</f>
        <v/>
      </c>
      <c r="I177" s="88"/>
      <c r="J177" s="89"/>
      <c r="K177" s="90"/>
      <c r="L177" s="42" t="b">
        <f t="shared" si="21"/>
        <v>0</v>
      </c>
    </row>
    <row r="178" spans="1:12" ht="18" customHeight="1" thickBot="1" x14ac:dyDescent="0.35"/>
    <row r="179" spans="1:12" ht="18" customHeight="1" thickBot="1" x14ac:dyDescent="0.35">
      <c r="C179" s="189">
        <f>C157+1</f>
        <v>46252</v>
      </c>
      <c r="D179" s="190"/>
      <c r="E179" s="190"/>
      <c r="F179" s="190"/>
      <c r="G179" s="190"/>
      <c r="H179" s="190"/>
      <c r="I179" s="190"/>
      <c r="J179" s="190"/>
      <c r="K179" s="191"/>
    </row>
    <row r="180" spans="1:12" ht="18" customHeight="1" thickTop="1" x14ac:dyDescent="0.3">
      <c r="A180" s="41">
        <f>A158+4</f>
        <v>33</v>
      </c>
      <c r="B180" s="41" t="s">
        <v>3</v>
      </c>
      <c r="C180" s="192" t="s">
        <v>48</v>
      </c>
      <c r="D180" s="61" t="str">
        <f>INDEX(fields[name],MATCH($B180,fields[field],0))</f>
        <v>Π Ποδόσφαιρο</v>
      </c>
      <c r="E180" s="52" t="str">
        <f t="array" aca="1" ref="E180" ca="1">IF(ISBLANK($A180),"",INDEX(games[th],MATCH(1,(games[r]=$A180)*(games[field]=$B180),0)))</f>
        <v/>
      </c>
      <c r="F180" s="58" t="str">
        <f ca="1">_xlfn.IFNA(INDEX(teams[name],MATCH(E180,teams[id],0)),"")</f>
        <v/>
      </c>
      <c r="G180" s="55" t="str">
        <f t="array" aca="1" ref="G180" ca="1">IF(ISBLANK($A180),"",INDEX(games[ta],MATCH(1,(games[r]=$A180)*(games[field]=$B180),0)))</f>
        <v/>
      </c>
      <c r="H180" s="58" t="str">
        <f ca="1">_xlfn.IFNA(INDEX(teams[name],MATCH(G180,teams[id],0)),"")</f>
        <v/>
      </c>
      <c r="I180" s="43"/>
      <c r="J180" s="44"/>
      <c r="K180" s="45"/>
      <c r="L180" s="42" t="b">
        <f>NOT(OR(ISBLANK($I180),ISBLANK($J180)))</f>
        <v>0</v>
      </c>
    </row>
    <row r="181" spans="1:12" ht="18" customHeight="1" x14ac:dyDescent="0.3">
      <c r="A181" s="41">
        <f t="shared" ref="A181:A199" si="22">A159+4</f>
        <v>33</v>
      </c>
      <c r="B181" s="41" t="s">
        <v>4</v>
      </c>
      <c r="C181" s="193"/>
      <c r="D181" s="62" t="str">
        <f>INDEX(fields[name],MATCH($B181,fields[field],0))</f>
        <v>Κ Ποδόσφαιρο</v>
      </c>
      <c r="E181" s="53" t="str">
        <f t="array" aca="1" ref="E181" ca="1">IF(ISBLANK($A181),"",INDEX(games[th],MATCH(1,(games[r]=$A181)*(games[field]=$B181),0)))</f>
        <v/>
      </c>
      <c r="F181" s="59" t="str">
        <f ca="1">_xlfn.IFNA(INDEX(teams[name],MATCH(E181,teams[id],0)),"")</f>
        <v/>
      </c>
      <c r="G181" s="56" t="str">
        <f t="array" aca="1" ref="G181" ca="1">IF(ISBLANK($A181),"",INDEX(games[ta],MATCH(1,(games[r]=$A181)*(games[field]=$B181),0)))</f>
        <v/>
      </c>
      <c r="H181" s="59" t="str">
        <f ca="1">_xlfn.IFNA(INDEX(teams[name],MATCH(G181,teams[id],0)),"")</f>
        <v/>
      </c>
      <c r="I181" s="46"/>
      <c r="J181" s="47"/>
      <c r="K181" s="48"/>
      <c r="L181" s="42" t="b">
        <f t="shared" ref="L181:L189" si="23">NOT(OR(ISBLANK($I181),ISBLANK($J181)))</f>
        <v>0</v>
      </c>
    </row>
    <row r="182" spans="1:12" ht="18" customHeight="1" x14ac:dyDescent="0.3">
      <c r="A182" s="41">
        <f t="shared" si="22"/>
        <v>33</v>
      </c>
      <c r="B182" s="41" t="s">
        <v>5</v>
      </c>
      <c r="C182" s="193"/>
      <c r="D182" s="62" t="str">
        <f>INDEX(fields[name],MATCH($B182,fields[field],0))</f>
        <v>Μπάσκετ</v>
      </c>
      <c r="E182" s="53" t="str">
        <f t="array" aca="1" ref="E182" ca="1">IF(ISBLANK($A182),"",INDEX(games[th],MATCH(1,(games[r]=$A182)*(games[field]=$B182),0)))</f>
        <v/>
      </c>
      <c r="F182" s="59" t="str">
        <f ca="1">_xlfn.IFNA(INDEX(teams[name],MATCH(E182,teams[id],0)),"")</f>
        <v/>
      </c>
      <c r="G182" s="56" t="str">
        <f t="array" aca="1" ref="G182" ca="1">IF(ISBLANK($A182),"",INDEX(games[ta],MATCH(1,(games[r]=$A182)*(games[field]=$B182),0)))</f>
        <v/>
      </c>
      <c r="H182" s="59" t="str">
        <f ca="1">_xlfn.IFNA(INDEX(teams[name],MATCH(G182,teams[id],0)),"")</f>
        <v/>
      </c>
      <c r="I182" s="46"/>
      <c r="J182" s="47"/>
      <c r="K182" s="48"/>
      <c r="L182" s="42" t="b">
        <f t="shared" si="23"/>
        <v>0</v>
      </c>
    </row>
    <row r="183" spans="1:12" ht="18" customHeight="1" x14ac:dyDescent="0.3">
      <c r="A183" s="41">
        <f t="shared" si="22"/>
        <v>33</v>
      </c>
      <c r="B183" s="41" t="s">
        <v>53</v>
      </c>
      <c r="C183" s="193"/>
      <c r="D183" s="62" t="str">
        <f>INDEX(fields[name],MATCH($B183,fields[field],0))</f>
        <v>Βόλεϊ</v>
      </c>
      <c r="E183" s="53" t="str">
        <f t="array" aca="1" ref="E183" ca="1">IF(ISBLANK($A183),"",INDEX(games[th],MATCH(1,(games[r]=$A183)*(games[field]=$B183),0)))</f>
        <v/>
      </c>
      <c r="F183" s="59" t="str">
        <f ca="1">_xlfn.IFNA(INDEX(teams[name],MATCH(E183,teams[id],0)),"")</f>
        <v/>
      </c>
      <c r="G183" s="56" t="str">
        <f t="array" aca="1" ref="G183" ca="1">IF(ISBLANK($A183),"",INDEX(games[ta],MATCH(1,(games[r]=$A183)*(games[field]=$B183),0)))</f>
        <v/>
      </c>
      <c r="H183" s="59" t="str">
        <f ca="1">_xlfn.IFNA(INDEX(teams[name],MATCH(G183,teams[id],0)),"")</f>
        <v/>
      </c>
      <c r="I183" s="46"/>
      <c r="J183" s="47"/>
      <c r="K183" s="48"/>
      <c r="L183" s="42" t="b">
        <f t="shared" si="23"/>
        <v>0</v>
      </c>
    </row>
    <row r="184" spans="1:12" ht="18" customHeight="1" x14ac:dyDescent="0.3">
      <c r="A184" s="41">
        <f t="shared" si="22"/>
        <v>33</v>
      </c>
      <c r="B184" s="41" t="s">
        <v>54</v>
      </c>
      <c r="C184" s="194"/>
      <c r="D184" s="79" t="str">
        <f>INDEX(fields[name],MATCH($B184,fields[field],0))</f>
        <v>Μπέιζμπολ</v>
      </c>
      <c r="E184" s="80" t="str">
        <f t="array" aca="1" ref="E184" ca="1">IF(ISBLANK($A184),"",INDEX(games[th],MATCH(1,(games[r]=$A184)*(games[field]=$B184),0)))</f>
        <v/>
      </c>
      <c r="F184" s="81" t="str">
        <f ca="1">_xlfn.IFNA(INDEX(teams[name],MATCH(E184,teams[id],0)),"")</f>
        <v/>
      </c>
      <c r="G184" s="82" t="str">
        <f t="array" aca="1" ref="G184" ca="1">IF(ISBLANK($A184),"",INDEX(games[ta],MATCH(1,(games[r]=$A184)*(games[field]=$B184),0)))</f>
        <v/>
      </c>
      <c r="H184" s="81" t="str">
        <f ca="1">_xlfn.IFNA(INDEX(teams[name],MATCH(G184,teams[id],0)),"")</f>
        <v/>
      </c>
      <c r="I184" s="83"/>
      <c r="J184" s="84"/>
      <c r="K184" s="85"/>
      <c r="L184" s="42" t="b">
        <f t="shared" si="23"/>
        <v>0</v>
      </c>
    </row>
    <row r="185" spans="1:12" ht="18" customHeight="1" x14ac:dyDescent="0.3">
      <c r="A185" s="41">
        <f t="shared" si="22"/>
        <v>34</v>
      </c>
      <c r="B185" s="41" t="s">
        <v>3</v>
      </c>
      <c r="C185" s="195" t="s">
        <v>49</v>
      </c>
      <c r="D185" s="72" t="str">
        <f>INDEX(fields[name],MATCH($B185,fields[field],0))</f>
        <v>Π Ποδόσφαιρο</v>
      </c>
      <c r="E185" s="73" t="str">
        <f t="array" aca="1" ref="E185" ca="1">IF(ISBLANK($A185),"",INDEX(games[th],MATCH(1,(games[r]=$A185)*(games[field]=$B185),0)))</f>
        <v/>
      </c>
      <c r="F185" s="74" t="str">
        <f ca="1">_xlfn.IFNA(INDEX(teams[name],MATCH(E185,teams[id],0)),"")</f>
        <v/>
      </c>
      <c r="G185" s="75" t="str">
        <f t="array" aca="1" ref="G185" ca="1">IF(ISBLANK($A185),"",INDEX(games[ta],MATCH(1,(games[r]=$A185)*(games[field]=$B185),0)))</f>
        <v/>
      </c>
      <c r="H185" s="74" t="str">
        <f ca="1">_xlfn.IFNA(INDEX(teams[name],MATCH(G185,teams[id],0)),"")</f>
        <v/>
      </c>
      <c r="I185" s="76"/>
      <c r="J185" s="77"/>
      <c r="K185" s="78"/>
      <c r="L185" s="42" t="b">
        <f t="shared" si="23"/>
        <v>0</v>
      </c>
    </row>
    <row r="186" spans="1:12" ht="18" customHeight="1" x14ac:dyDescent="0.3">
      <c r="A186" s="41">
        <f t="shared" si="22"/>
        <v>34</v>
      </c>
      <c r="B186" s="41" t="s">
        <v>4</v>
      </c>
      <c r="C186" s="193"/>
      <c r="D186" s="62" t="str">
        <f>INDEX(fields[name],MATCH($B186,fields[field],0))</f>
        <v>Κ Ποδόσφαιρο</v>
      </c>
      <c r="E186" s="53" t="str">
        <f t="array" aca="1" ref="E186" ca="1">IF(ISBLANK($A186),"",INDEX(games[th],MATCH(1,(games[r]=$A186)*(games[field]=$B186),0)))</f>
        <v/>
      </c>
      <c r="F186" s="59" t="str">
        <f ca="1">_xlfn.IFNA(INDEX(teams[name],MATCH(E186,teams[id],0)),"")</f>
        <v/>
      </c>
      <c r="G186" s="56" t="str">
        <f t="array" aca="1" ref="G186" ca="1">IF(ISBLANK($A186),"",INDEX(games[ta],MATCH(1,(games[r]=$A186)*(games[field]=$B186),0)))</f>
        <v/>
      </c>
      <c r="H186" s="59" t="str">
        <f ca="1">_xlfn.IFNA(INDEX(teams[name],MATCH(G186,teams[id],0)),"")</f>
        <v/>
      </c>
      <c r="I186" s="46"/>
      <c r="J186" s="47"/>
      <c r="K186" s="48"/>
      <c r="L186" s="42" t="b">
        <f t="shared" si="23"/>
        <v>0</v>
      </c>
    </row>
    <row r="187" spans="1:12" ht="18" customHeight="1" x14ac:dyDescent="0.3">
      <c r="A187" s="41">
        <f t="shared" si="22"/>
        <v>34</v>
      </c>
      <c r="B187" s="41" t="s">
        <v>5</v>
      </c>
      <c r="C187" s="193"/>
      <c r="D187" s="62" t="str">
        <f>INDEX(fields[name],MATCH($B187,fields[field],0))</f>
        <v>Μπάσκετ</v>
      </c>
      <c r="E187" s="53" t="str">
        <f t="array" aca="1" ref="E187" ca="1">IF(ISBLANK($A187),"",INDEX(games[th],MATCH(1,(games[r]=$A187)*(games[field]=$B187),0)))</f>
        <v/>
      </c>
      <c r="F187" s="59" t="str">
        <f ca="1">_xlfn.IFNA(INDEX(teams[name],MATCH(E187,teams[id],0)),"")</f>
        <v/>
      </c>
      <c r="G187" s="56" t="str">
        <f t="array" aca="1" ref="G187" ca="1">IF(ISBLANK($A187),"",INDEX(games[ta],MATCH(1,(games[r]=$A187)*(games[field]=$B187),0)))</f>
        <v/>
      </c>
      <c r="H187" s="59" t="str">
        <f ca="1">_xlfn.IFNA(INDEX(teams[name],MATCH(G187,teams[id],0)),"")</f>
        <v/>
      </c>
      <c r="I187" s="46"/>
      <c r="J187" s="47"/>
      <c r="K187" s="48"/>
      <c r="L187" s="42" t="b">
        <f t="shared" si="23"/>
        <v>0</v>
      </c>
    </row>
    <row r="188" spans="1:12" ht="18" customHeight="1" x14ac:dyDescent="0.3">
      <c r="A188" s="41">
        <f t="shared" si="22"/>
        <v>34</v>
      </c>
      <c r="B188" s="41" t="s">
        <v>53</v>
      </c>
      <c r="C188" s="196"/>
      <c r="D188" s="65" t="str">
        <f>INDEX(fields[name],MATCH($B188,fields[field],0))</f>
        <v>Βόλεϊ</v>
      </c>
      <c r="E188" s="66" t="str">
        <f t="array" aca="1" ref="E188" ca="1">IF(ISBLANK($A188),"",INDEX(games[th],MATCH(1,(games[r]=$A188)*(games[field]=$B188),0)))</f>
        <v/>
      </c>
      <c r="F188" s="67" t="str">
        <f ca="1">_xlfn.IFNA(INDEX(teams[name],MATCH(E188,teams[id],0)),"")</f>
        <v/>
      </c>
      <c r="G188" s="68" t="str">
        <f t="array" aca="1" ref="G188" ca="1">IF(ISBLANK($A188),"",INDEX(games[ta],MATCH(1,(games[r]=$A188)*(games[field]=$B188),0)))</f>
        <v/>
      </c>
      <c r="H188" s="67" t="str">
        <f ca="1">_xlfn.IFNA(INDEX(teams[name],MATCH(G188,teams[id],0)),"")</f>
        <v/>
      </c>
      <c r="I188" s="69"/>
      <c r="J188" s="70"/>
      <c r="K188" s="71"/>
      <c r="L188" s="42" t="b">
        <f t="shared" si="23"/>
        <v>0</v>
      </c>
    </row>
    <row r="189" spans="1:12" ht="18" customHeight="1" thickBot="1" x14ac:dyDescent="0.35">
      <c r="A189" s="41">
        <f t="shared" si="22"/>
        <v>34</v>
      </c>
      <c r="B189" s="41" t="s">
        <v>54</v>
      </c>
      <c r="C189" s="197"/>
      <c r="D189" s="63" t="str">
        <f>INDEX(fields[name],MATCH($B189,fields[field],0))</f>
        <v>Μπέιζμπολ</v>
      </c>
      <c r="E189" s="54" t="str">
        <f t="array" aca="1" ref="E189" ca="1">IF(ISBLANK($A189),"",INDEX(games[th],MATCH(1,(games[r]=$A189)*(games[field]=$B189),0)))</f>
        <v/>
      </c>
      <c r="F189" s="60" t="str">
        <f ca="1">_xlfn.IFNA(INDEX(teams[name],MATCH(E189,teams[id],0)),"")</f>
        <v/>
      </c>
      <c r="G189" s="57" t="str">
        <f t="array" aca="1" ref="G189" ca="1">IF(ISBLANK($A189),"",INDEX(games[ta],MATCH(1,(games[r]=$A189)*(games[field]=$B189),0)))</f>
        <v/>
      </c>
      <c r="H189" s="60" t="str">
        <f ca="1">_xlfn.IFNA(INDEX(teams[name],MATCH(G189,teams[id],0)),"")</f>
        <v/>
      </c>
      <c r="I189" s="49"/>
      <c r="J189" s="50"/>
      <c r="K189" s="51"/>
      <c r="L189" s="42" t="b">
        <f t="shared" si="23"/>
        <v>0</v>
      </c>
    </row>
    <row r="190" spans="1:12" ht="18" customHeight="1" thickTop="1" x14ac:dyDescent="0.3">
      <c r="A190" s="41">
        <f t="shared" si="22"/>
        <v>35</v>
      </c>
      <c r="B190" s="41" t="s">
        <v>3</v>
      </c>
      <c r="C190" s="192" t="s">
        <v>50</v>
      </c>
      <c r="D190" s="61" t="str">
        <f>INDEX(fields[name],MATCH($B190,fields[field],0))</f>
        <v>Π Ποδόσφαιρο</v>
      </c>
      <c r="E190" s="52" t="str">
        <f t="array" aca="1" ref="E190" ca="1">IF(ISBLANK($A190),"",INDEX(games[th],MATCH(1,(games[r]=$A190)*(games[field]=$B190),0)))</f>
        <v/>
      </c>
      <c r="F190" s="58" t="str">
        <f ca="1">_xlfn.IFNA(INDEX(teams[name],MATCH(E190,teams[id],0)),"")</f>
        <v/>
      </c>
      <c r="G190" s="55" t="str">
        <f t="array" aca="1" ref="G190" ca="1">IF(ISBLANK($A190),"",INDEX(games[ta],MATCH(1,(games[r]=$A190)*(games[field]=$B190),0)))</f>
        <v/>
      </c>
      <c r="H190" s="58" t="str">
        <f ca="1">_xlfn.IFNA(INDEX(teams[name],MATCH(G190,teams[id],0)),"")</f>
        <v/>
      </c>
      <c r="I190" s="43"/>
      <c r="J190" s="44"/>
      <c r="K190" s="45"/>
      <c r="L190" s="42" t="b">
        <f>NOT(OR(ISBLANK($I190),ISBLANK($J190)))</f>
        <v>0</v>
      </c>
    </row>
    <row r="191" spans="1:12" ht="18" customHeight="1" x14ac:dyDescent="0.3">
      <c r="A191" s="41">
        <f t="shared" si="22"/>
        <v>35</v>
      </c>
      <c r="B191" s="41" t="s">
        <v>4</v>
      </c>
      <c r="C191" s="193"/>
      <c r="D191" s="62" t="str">
        <f>INDEX(fields[name],MATCH($B191,fields[field],0))</f>
        <v>Κ Ποδόσφαιρο</v>
      </c>
      <c r="E191" s="53" t="str">
        <f t="array" aca="1" ref="E191" ca="1">IF(ISBLANK($A191),"",INDEX(games[th],MATCH(1,(games[r]=$A191)*(games[field]=$B191),0)))</f>
        <v/>
      </c>
      <c r="F191" s="59" t="str">
        <f ca="1">_xlfn.IFNA(INDEX(teams[name],MATCH(E191,teams[id],0)),"")</f>
        <v/>
      </c>
      <c r="G191" s="56" t="str">
        <f t="array" aca="1" ref="G191" ca="1">IF(ISBLANK($A191),"",INDEX(games[ta],MATCH(1,(games[r]=$A191)*(games[field]=$B191),0)))</f>
        <v/>
      </c>
      <c r="H191" s="59" t="str">
        <f ca="1">_xlfn.IFNA(INDEX(teams[name],MATCH(G191,teams[id],0)),"")</f>
        <v/>
      </c>
      <c r="I191" s="46"/>
      <c r="J191" s="47"/>
      <c r="K191" s="48"/>
      <c r="L191" s="42" t="b">
        <f t="shared" ref="L191:L199" si="24">NOT(OR(ISBLANK($I191),ISBLANK($J191)))</f>
        <v>0</v>
      </c>
    </row>
    <row r="192" spans="1:12" ht="18" customHeight="1" x14ac:dyDescent="0.3">
      <c r="A192" s="41">
        <f t="shared" si="22"/>
        <v>35</v>
      </c>
      <c r="B192" s="41" t="s">
        <v>5</v>
      </c>
      <c r="C192" s="193"/>
      <c r="D192" s="62" t="str">
        <f>INDEX(fields[name],MATCH($B192,fields[field],0))</f>
        <v>Μπάσκετ</v>
      </c>
      <c r="E192" s="53" t="str">
        <f t="array" aca="1" ref="E192" ca="1">IF(ISBLANK($A192),"",INDEX(games[th],MATCH(1,(games[r]=$A192)*(games[field]=$B192),0)))</f>
        <v/>
      </c>
      <c r="F192" s="59" t="str">
        <f ca="1">_xlfn.IFNA(INDEX(teams[name],MATCH(E192,teams[id],0)),"")</f>
        <v/>
      </c>
      <c r="G192" s="56" t="str">
        <f t="array" aca="1" ref="G192" ca="1">IF(ISBLANK($A192),"",INDEX(games[ta],MATCH(1,(games[r]=$A192)*(games[field]=$B192),0)))</f>
        <v/>
      </c>
      <c r="H192" s="59" t="str">
        <f ca="1">_xlfn.IFNA(INDEX(teams[name],MATCH(G192,teams[id],0)),"")</f>
        <v/>
      </c>
      <c r="I192" s="46"/>
      <c r="J192" s="47"/>
      <c r="K192" s="48"/>
      <c r="L192" s="42" t="b">
        <f t="shared" si="24"/>
        <v>0</v>
      </c>
    </row>
    <row r="193" spans="1:12" ht="18" customHeight="1" x14ac:dyDescent="0.3">
      <c r="A193" s="41">
        <f t="shared" si="22"/>
        <v>35</v>
      </c>
      <c r="B193" s="41" t="s">
        <v>53</v>
      </c>
      <c r="C193" s="193"/>
      <c r="D193" s="62" t="str">
        <f>INDEX(fields[name],MATCH($B193,fields[field],0))</f>
        <v>Βόλεϊ</v>
      </c>
      <c r="E193" s="53" t="str">
        <f t="array" aca="1" ref="E193" ca="1">IF(ISBLANK($A193),"",INDEX(games[th],MATCH(1,(games[r]=$A193)*(games[field]=$B193),0)))</f>
        <v/>
      </c>
      <c r="F193" s="59" t="str">
        <f ca="1">_xlfn.IFNA(INDEX(teams[name],MATCH(E193,teams[id],0)),"")</f>
        <v/>
      </c>
      <c r="G193" s="56" t="str">
        <f t="array" aca="1" ref="G193" ca="1">IF(ISBLANK($A193),"",INDEX(games[ta],MATCH(1,(games[r]=$A193)*(games[field]=$B193),0)))</f>
        <v/>
      </c>
      <c r="H193" s="59" t="str">
        <f ca="1">_xlfn.IFNA(INDEX(teams[name],MATCH(G193,teams[id],0)),"")</f>
        <v/>
      </c>
      <c r="I193" s="46"/>
      <c r="J193" s="47"/>
      <c r="K193" s="48"/>
      <c r="L193" s="42" t="b">
        <f t="shared" si="24"/>
        <v>0</v>
      </c>
    </row>
    <row r="194" spans="1:12" ht="18" customHeight="1" x14ac:dyDescent="0.3">
      <c r="A194" s="41">
        <f t="shared" si="22"/>
        <v>35</v>
      </c>
      <c r="B194" s="41" t="s">
        <v>54</v>
      </c>
      <c r="C194" s="194"/>
      <c r="D194" s="79" t="str">
        <f>INDEX(fields[name],MATCH($B194,fields[field],0))</f>
        <v>Μπέιζμπολ</v>
      </c>
      <c r="E194" s="80" t="str">
        <f t="array" aca="1" ref="E194" ca="1">IF(ISBLANK($A194),"",INDEX(games[th],MATCH(1,(games[r]=$A194)*(games[field]=$B194),0)))</f>
        <v/>
      </c>
      <c r="F194" s="81" t="str">
        <f ca="1">_xlfn.IFNA(INDEX(teams[name],MATCH(E194,teams[id],0)),"")</f>
        <v/>
      </c>
      <c r="G194" s="82" t="str">
        <f t="array" aca="1" ref="G194" ca="1">IF(ISBLANK($A194),"",INDEX(games[ta],MATCH(1,(games[r]=$A194)*(games[field]=$B194),0)))</f>
        <v/>
      </c>
      <c r="H194" s="81" t="str">
        <f ca="1">_xlfn.IFNA(INDEX(teams[name],MATCH(G194,teams[id],0)),"")</f>
        <v/>
      </c>
      <c r="I194" s="83"/>
      <c r="J194" s="84"/>
      <c r="K194" s="85"/>
      <c r="L194" s="42" t="b">
        <f t="shared" si="24"/>
        <v>0</v>
      </c>
    </row>
    <row r="195" spans="1:12" ht="18" customHeight="1" x14ac:dyDescent="0.3">
      <c r="A195" s="41">
        <f t="shared" si="22"/>
        <v>36</v>
      </c>
      <c r="B195" s="41" t="s">
        <v>3</v>
      </c>
      <c r="C195" s="195" t="s">
        <v>51</v>
      </c>
      <c r="D195" s="72" t="str">
        <f>INDEX(fields[name],MATCH($B195,fields[field],0))</f>
        <v>Π Ποδόσφαιρο</v>
      </c>
      <c r="E195" s="73" t="str">
        <f t="array" aca="1" ref="E195" ca="1">IF(ISBLANK($A195),"",INDEX(games[th],MATCH(1,(games[r]=$A195)*(games[field]=$B195),0)))</f>
        <v/>
      </c>
      <c r="F195" s="74" t="str">
        <f ca="1">_xlfn.IFNA(INDEX(teams[name],MATCH(E195,teams[id],0)),"")</f>
        <v/>
      </c>
      <c r="G195" s="75" t="str">
        <f t="array" aca="1" ref="G195" ca="1">IF(ISBLANK($A195),"",INDEX(games[ta],MATCH(1,(games[r]=$A195)*(games[field]=$B195),0)))</f>
        <v/>
      </c>
      <c r="H195" s="74" t="str">
        <f ca="1">_xlfn.IFNA(INDEX(teams[name],MATCH(G195,teams[id],0)),"")</f>
        <v/>
      </c>
      <c r="I195" s="76"/>
      <c r="J195" s="77"/>
      <c r="K195" s="78"/>
      <c r="L195" s="42" t="b">
        <f t="shared" si="24"/>
        <v>0</v>
      </c>
    </row>
    <row r="196" spans="1:12" ht="18" customHeight="1" x14ac:dyDescent="0.3">
      <c r="A196" s="41">
        <f t="shared" si="22"/>
        <v>36</v>
      </c>
      <c r="B196" s="41" t="s">
        <v>4</v>
      </c>
      <c r="C196" s="193"/>
      <c r="D196" s="62" t="str">
        <f>INDEX(fields[name],MATCH($B196,fields[field],0))</f>
        <v>Κ Ποδόσφαιρο</v>
      </c>
      <c r="E196" s="53" t="str">
        <f t="array" aca="1" ref="E196" ca="1">IF(ISBLANK($A196),"",INDEX(games[th],MATCH(1,(games[r]=$A196)*(games[field]=$B196),0)))</f>
        <v/>
      </c>
      <c r="F196" s="59" t="str">
        <f ca="1">_xlfn.IFNA(INDEX(teams[name],MATCH(E196,teams[id],0)),"")</f>
        <v/>
      </c>
      <c r="G196" s="56" t="str">
        <f t="array" aca="1" ref="G196" ca="1">IF(ISBLANK($A196),"",INDEX(games[ta],MATCH(1,(games[r]=$A196)*(games[field]=$B196),0)))</f>
        <v/>
      </c>
      <c r="H196" s="59" t="str">
        <f ca="1">_xlfn.IFNA(INDEX(teams[name],MATCH(G196,teams[id],0)),"")</f>
        <v/>
      </c>
      <c r="I196" s="46"/>
      <c r="J196" s="47"/>
      <c r="K196" s="48"/>
      <c r="L196" s="42" t="b">
        <f t="shared" si="24"/>
        <v>0</v>
      </c>
    </row>
    <row r="197" spans="1:12" ht="18" customHeight="1" x14ac:dyDescent="0.3">
      <c r="A197" s="41">
        <f t="shared" si="22"/>
        <v>36</v>
      </c>
      <c r="B197" s="41" t="s">
        <v>5</v>
      </c>
      <c r="C197" s="193"/>
      <c r="D197" s="62" t="str">
        <f>INDEX(fields[name],MATCH($B197,fields[field],0))</f>
        <v>Μπάσκετ</v>
      </c>
      <c r="E197" s="53" t="str">
        <f t="array" aca="1" ref="E197" ca="1">IF(ISBLANK($A197),"",INDEX(games[th],MATCH(1,(games[r]=$A197)*(games[field]=$B197),0)))</f>
        <v/>
      </c>
      <c r="F197" s="59" t="str">
        <f ca="1">_xlfn.IFNA(INDEX(teams[name],MATCH(E197,teams[id],0)),"")</f>
        <v/>
      </c>
      <c r="G197" s="56" t="str">
        <f t="array" aca="1" ref="G197" ca="1">IF(ISBLANK($A197),"",INDEX(games[ta],MATCH(1,(games[r]=$A197)*(games[field]=$B197),0)))</f>
        <v/>
      </c>
      <c r="H197" s="59" t="str">
        <f ca="1">_xlfn.IFNA(INDEX(teams[name],MATCH(G197,teams[id],0)),"")</f>
        <v/>
      </c>
      <c r="I197" s="46"/>
      <c r="J197" s="47"/>
      <c r="K197" s="48"/>
      <c r="L197" s="42" t="b">
        <f t="shared" si="24"/>
        <v>0</v>
      </c>
    </row>
    <row r="198" spans="1:12" ht="18" customHeight="1" x14ac:dyDescent="0.3">
      <c r="A198" s="41">
        <f t="shared" si="22"/>
        <v>36</v>
      </c>
      <c r="B198" s="41" t="s">
        <v>53</v>
      </c>
      <c r="C198" s="196"/>
      <c r="D198" s="65" t="str">
        <f>INDEX(fields[name],MATCH($B198,fields[field],0))</f>
        <v>Βόλεϊ</v>
      </c>
      <c r="E198" s="66" t="str">
        <f t="array" aca="1" ref="E198" ca="1">IF(ISBLANK($A198),"",INDEX(games[th],MATCH(1,(games[r]=$A198)*(games[field]=$B198),0)))</f>
        <v/>
      </c>
      <c r="F198" s="67" t="str">
        <f ca="1">_xlfn.IFNA(INDEX(teams[name],MATCH(E198,teams[id],0)),"")</f>
        <v/>
      </c>
      <c r="G198" s="68" t="str">
        <f t="array" aca="1" ref="G198" ca="1">IF(ISBLANK($A198),"",INDEX(games[ta],MATCH(1,(games[r]=$A198)*(games[field]=$B198),0)))</f>
        <v/>
      </c>
      <c r="H198" s="67" t="str">
        <f ca="1">_xlfn.IFNA(INDEX(teams[name],MATCH(G198,teams[id],0)),"")</f>
        <v/>
      </c>
      <c r="I198" s="69"/>
      <c r="J198" s="70"/>
      <c r="K198" s="71"/>
      <c r="L198" s="42" t="b">
        <f t="shared" si="24"/>
        <v>0</v>
      </c>
    </row>
    <row r="199" spans="1:12" ht="18" customHeight="1" thickBot="1" x14ac:dyDescent="0.35">
      <c r="A199" s="41">
        <f t="shared" si="22"/>
        <v>36</v>
      </c>
      <c r="B199" s="41" t="s">
        <v>54</v>
      </c>
      <c r="C199" s="198"/>
      <c r="D199" s="64" t="str">
        <f>INDEX(fields[name],MATCH($B199,fields[field],0))</f>
        <v>Μπέιζμπολ</v>
      </c>
      <c r="E199" s="54" t="str">
        <f t="array" aca="1" ref="E199" ca="1">IF(ISBLANK($A199),"",INDEX(games[th],MATCH(1,(games[r]=$A199)*(games[field]=$B199),0)))</f>
        <v/>
      </c>
      <c r="F199" s="60" t="str">
        <f ca="1">_xlfn.IFNA(INDEX(teams[name],MATCH(E199,teams[id],0)),"")</f>
        <v/>
      </c>
      <c r="G199" s="57" t="str">
        <f t="array" aca="1" ref="G199" ca="1">IF(ISBLANK($A199),"",INDEX(games[ta],MATCH(1,(games[r]=$A199)*(games[field]=$B199),0)))</f>
        <v/>
      </c>
      <c r="H199" s="60" t="str">
        <f ca="1">_xlfn.IFNA(INDEX(teams[name],MATCH(G199,teams[id],0)),"")</f>
        <v/>
      </c>
      <c r="I199" s="88"/>
      <c r="J199" s="89"/>
      <c r="K199" s="90"/>
      <c r="L199" s="42" t="b">
        <f t="shared" si="24"/>
        <v>0</v>
      </c>
    </row>
    <row r="200" spans="1:12" ht="18" customHeight="1" thickBot="1" x14ac:dyDescent="0.35"/>
    <row r="201" spans="1:12" ht="18" customHeight="1" thickBot="1" x14ac:dyDescent="0.35">
      <c r="C201" s="189">
        <f>C179+1</f>
        <v>46253</v>
      </c>
      <c r="D201" s="190"/>
      <c r="E201" s="190"/>
      <c r="F201" s="190"/>
      <c r="G201" s="190"/>
      <c r="H201" s="190"/>
      <c r="I201" s="190"/>
      <c r="J201" s="190"/>
      <c r="K201" s="191"/>
    </row>
    <row r="202" spans="1:12" ht="18" customHeight="1" thickTop="1" x14ac:dyDescent="0.3">
      <c r="A202" s="41">
        <f>A180+4</f>
        <v>37</v>
      </c>
      <c r="B202" s="41" t="s">
        <v>3</v>
      </c>
      <c r="C202" s="192" t="s">
        <v>48</v>
      </c>
      <c r="D202" s="61" t="str">
        <f>INDEX(fields[name],MATCH($B202,fields[field],0))</f>
        <v>Π Ποδόσφαιρο</v>
      </c>
      <c r="E202" s="52" t="str">
        <f t="array" aca="1" ref="E202" ca="1">IF(ISBLANK($A202),"",INDEX(games[th],MATCH(1,(games[r]=$A202)*(games[field]=$B202),0)))</f>
        <v/>
      </c>
      <c r="F202" s="58" t="str">
        <f ca="1">_xlfn.IFNA(INDEX(teams[name],MATCH(E202,teams[id],0)),"")</f>
        <v/>
      </c>
      <c r="G202" s="55" t="str">
        <f t="array" aca="1" ref="G202" ca="1">IF(ISBLANK($A202),"",INDEX(games[ta],MATCH(1,(games[r]=$A202)*(games[field]=$B202),0)))</f>
        <v/>
      </c>
      <c r="H202" s="58" t="str">
        <f ca="1">_xlfn.IFNA(INDEX(teams[name],MATCH(G202,teams[id],0)),"")</f>
        <v/>
      </c>
      <c r="I202" s="43"/>
      <c r="J202" s="44"/>
      <c r="K202" s="45"/>
      <c r="L202" s="42" t="b">
        <f>NOT(OR(ISBLANK($I202),ISBLANK($J202)))</f>
        <v>0</v>
      </c>
    </row>
    <row r="203" spans="1:12" ht="18" customHeight="1" x14ac:dyDescent="0.3">
      <c r="A203" s="41">
        <f t="shared" ref="A203:A221" si="25">A181+4</f>
        <v>37</v>
      </c>
      <c r="B203" s="41" t="s">
        <v>4</v>
      </c>
      <c r="C203" s="193"/>
      <c r="D203" s="62" t="str">
        <f>INDEX(fields[name],MATCH($B203,fields[field],0))</f>
        <v>Κ Ποδόσφαιρο</v>
      </c>
      <c r="E203" s="53" t="str">
        <f t="array" aca="1" ref="E203" ca="1">IF(ISBLANK($A203),"",INDEX(games[th],MATCH(1,(games[r]=$A203)*(games[field]=$B203),0)))</f>
        <v/>
      </c>
      <c r="F203" s="59" t="str">
        <f ca="1">_xlfn.IFNA(INDEX(teams[name],MATCH(E203,teams[id],0)),"")</f>
        <v/>
      </c>
      <c r="G203" s="56" t="str">
        <f t="array" aca="1" ref="G203" ca="1">IF(ISBLANK($A203),"",INDEX(games[ta],MATCH(1,(games[r]=$A203)*(games[field]=$B203),0)))</f>
        <v/>
      </c>
      <c r="H203" s="59" t="str">
        <f ca="1">_xlfn.IFNA(INDEX(teams[name],MATCH(G203,teams[id],0)),"")</f>
        <v/>
      </c>
      <c r="I203" s="46"/>
      <c r="J203" s="47"/>
      <c r="K203" s="48"/>
      <c r="L203" s="42" t="b">
        <f t="shared" ref="L203:L211" si="26">NOT(OR(ISBLANK($I203),ISBLANK($J203)))</f>
        <v>0</v>
      </c>
    </row>
    <row r="204" spans="1:12" ht="18" customHeight="1" x14ac:dyDescent="0.3">
      <c r="A204" s="41">
        <f t="shared" si="25"/>
        <v>37</v>
      </c>
      <c r="B204" s="41" t="s">
        <v>5</v>
      </c>
      <c r="C204" s="193"/>
      <c r="D204" s="62" t="str">
        <f>INDEX(fields[name],MATCH($B204,fields[field],0))</f>
        <v>Μπάσκετ</v>
      </c>
      <c r="E204" s="53" t="str">
        <f t="array" aca="1" ref="E204" ca="1">IF(ISBLANK($A204),"",INDEX(games[th],MATCH(1,(games[r]=$A204)*(games[field]=$B204),0)))</f>
        <v/>
      </c>
      <c r="F204" s="59" t="str">
        <f ca="1">_xlfn.IFNA(INDEX(teams[name],MATCH(E204,teams[id],0)),"")</f>
        <v/>
      </c>
      <c r="G204" s="56" t="str">
        <f t="array" aca="1" ref="G204" ca="1">IF(ISBLANK($A204),"",INDEX(games[ta],MATCH(1,(games[r]=$A204)*(games[field]=$B204),0)))</f>
        <v/>
      </c>
      <c r="H204" s="59" t="str">
        <f ca="1">_xlfn.IFNA(INDEX(teams[name],MATCH(G204,teams[id],0)),"")</f>
        <v/>
      </c>
      <c r="I204" s="46"/>
      <c r="J204" s="47"/>
      <c r="K204" s="48"/>
      <c r="L204" s="42" t="b">
        <f t="shared" si="26"/>
        <v>0</v>
      </c>
    </row>
    <row r="205" spans="1:12" ht="18" customHeight="1" x14ac:dyDescent="0.3">
      <c r="A205" s="41">
        <f t="shared" si="25"/>
        <v>37</v>
      </c>
      <c r="B205" s="41" t="s">
        <v>53</v>
      </c>
      <c r="C205" s="193"/>
      <c r="D205" s="62" t="str">
        <f>INDEX(fields[name],MATCH($B205,fields[field],0))</f>
        <v>Βόλεϊ</v>
      </c>
      <c r="E205" s="53" t="str">
        <f t="array" aca="1" ref="E205" ca="1">IF(ISBLANK($A205),"",INDEX(games[th],MATCH(1,(games[r]=$A205)*(games[field]=$B205),0)))</f>
        <v/>
      </c>
      <c r="F205" s="59" t="str">
        <f ca="1">_xlfn.IFNA(INDEX(teams[name],MATCH(E205,teams[id],0)),"")</f>
        <v/>
      </c>
      <c r="G205" s="56" t="str">
        <f t="array" aca="1" ref="G205" ca="1">IF(ISBLANK($A205),"",INDEX(games[ta],MATCH(1,(games[r]=$A205)*(games[field]=$B205),0)))</f>
        <v/>
      </c>
      <c r="H205" s="59" t="str">
        <f ca="1">_xlfn.IFNA(INDEX(teams[name],MATCH(G205,teams[id],0)),"")</f>
        <v/>
      </c>
      <c r="I205" s="46"/>
      <c r="J205" s="47"/>
      <c r="K205" s="48"/>
      <c r="L205" s="42" t="b">
        <f t="shared" si="26"/>
        <v>0</v>
      </c>
    </row>
    <row r="206" spans="1:12" ht="18" customHeight="1" x14ac:dyDescent="0.3">
      <c r="A206" s="41">
        <f t="shared" si="25"/>
        <v>37</v>
      </c>
      <c r="B206" s="41" t="s">
        <v>54</v>
      </c>
      <c r="C206" s="194"/>
      <c r="D206" s="79" t="str">
        <f>INDEX(fields[name],MATCH($B206,fields[field],0))</f>
        <v>Μπέιζμπολ</v>
      </c>
      <c r="E206" s="80" t="str">
        <f t="array" aca="1" ref="E206" ca="1">IF(ISBLANK($A206),"",INDEX(games[th],MATCH(1,(games[r]=$A206)*(games[field]=$B206),0)))</f>
        <v/>
      </c>
      <c r="F206" s="81" t="str">
        <f ca="1">_xlfn.IFNA(INDEX(teams[name],MATCH(E206,teams[id],0)),"")</f>
        <v/>
      </c>
      <c r="G206" s="82" t="str">
        <f t="array" aca="1" ref="G206" ca="1">IF(ISBLANK($A206),"",INDEX(games[ta],MATCH(1,(games[r]=$A206)*(games[field]=$B206),0)))</f>
        <v/>
      </c>
      <c r="H206" s="81" t="str">
        <f ca="1">_xlfn.IFNA(INDEX(teams[name],MATCH(G206,teams[id],0)),"")</f>
        <v/>
      </c>
      <c r="I206" s="83"/>
      <c r="J206" s="84"/>
      <c r="K206" s="85"/>
      <c r="L206" s="42" t="b">
        <f t="shared" si="26"/>
        <v>0</v>
      </c>
    </row>
    <row r="207" spans="1:12" ht="18" customHeight="1" x14ac:dyDescent="0.3">
      <c r="A207" s="41">
        <f t="shared" si="25"/>
        <v>38</v>
      </c>
      <c r="B207" s="41" t="s">
        <v>3</v>
      </c>
      <c r="C207" s="195" t="s">
        <v>49</v>
      </c>
      <c r="D207" s="72" t="str">
        <f>INDEX(fields[name],MATCH($B207,fields[field],0))</f>
        <v>Π Ποδόσφαιρο</v>
      </c>
      <c r="E207" s="73" t="str">
        <f t="array" aca="1" ref="E207" ca="1">IF(ISBLANK($A207),"",INDEX(games[th],MATCH(1,(games[r]=$A207)*(games[field]=$B207),0)))</f>
        <v/>
      </c>
      <c r="F207" s="74" t="str">
        <f ca="1">_xlfn.IFNA(INDEX(teams[name],MATCH(E207,teams[id],0)),"")</f>
        <v/>
      </c>
      <c r="G207" s="75" t="str">
        <f t="array" aca="1" ref="G207" ca="1">IF(ISBLANK($A207),"",INDEX(games[ta],MATCH(1,(games[r]=$A207)*(games[field]=$B207),0)))</f>
        <v/>
      </c>
      <c r="H207" s="74" t="str">
        <f ca="1">_xlfn.IFNA(INDEX(teams[name],MATCH(G207,teams[id],0)),"")</f>
        <v/>
      </c>
      <c r="I207" s="76"/>
      <c r="J207" s="77"/>
      <c r="K207" s="78"/>
      <c r="L207" s="42" t="b">
        <f t="shared" si="26"/>
        <v>0</v>
      </c>
    </row>
    <row r="208" spans="1:12" ht="18" customHeight="1" x14ac:dyDescent="0.3">
      <c r="A208" s="41">
        <f t="shared" si="25"/>
        <v>38</v>
      </c>
      <c r="B208" s="41" t="s">
        <v>4</v>
      </c>
      <c r="C208" s="193"/>
      <c r="D208" s="62" t="str">
        <f>INDEX(fields[name],MATCH($B208,fields[field],0))</f>
        <v>Κ Ποδόσφαιρο</v>
      </c>
      <c r="E208" s="53" t="str">
        <f t="array" aca="1" ref="E208" ca="1">IF(ISBLANK($A208),"",INDEX(games[th],MATCH(1,(games[r]=$A208)*(games[field]=$B208),0)))</f>
        <v/>
      </c>
      <c r="F208" s="59" t="str">
        <f ca="1">_xlfn.IFNA(INDEX(teams[name],MATCH(E208,teams[id],0)),"")</f>
        <v/>
      </c>
      <c r="G208" s="56" t="str">
        <f t="array" aca="1" ref="G208" ca="1">IF(ISBLANK($A208),"",INDEX(games[ta],MATCH(1,(games[r]=$A208)*(games[field]=$B208),0)))</f>
        <v/>
      </c>
      <c r="H208" s="59" t="str">
        <f ca="1">_xlfn.IFNA(INDEX(teams[name],MATCH(G208,teams[id],0)),"")</f>
        <v/>
      </c>
      <c r="I208" s="46"/>
      <c r="J208" s="47"/>
      <c r="K208" s="48"/>
      <c r="L208" s="42" t="b">
        <f t="shared" si="26"/>
        <v>0</v>
      </c>
    </row>
    <row r="209" spans="1:12" ht="18" customHeight="1" x14ac:dyDescent="0.3">
      <c r="A209" s="41">
        <f t="shared" si="25"/>
        <v>38</v>
      </c>
      <c r="B209" s="41" t="s">
        <v>5</v>
      </c>
      <c r="C209" s="193"/>
      <c r="D209" s="62" t="str">
        <f>INDEX(fields[name],MATCH($B209,fields[field],0))</f>
        <v>Μπάσκετ</v>
      </c>
      <c r="E209" s="53" t="str">
        <f t="array" aca="1" ref="E209" ca="1">IF(ISBLANK($A209),"",INDEX(games[th],MATCH(1,(games[r]=$A209)*(games[field]=$B209),0)))</f>
        <v/>
      </c>
      <c r="F209" s="59" t="str">
        <f ca="1">_xlfn.IFNA(INDEX(teams[name],MATCH(E209,teams[id],0)),"")</f>
        <v/>
      </c>
      <c r="G209" s="56" t="str">
        <f t="array" aca="1" ref="G209" ca="1">IF(ISBLANK($A209),"",INDEX(games[ta],MATCH(1,(games[r]=$A209)*(games[field]=$B209),0)))</f>
        <v/>
      </c>
      <c r="H209" s="59" t="str">
        <f ca="1">_xlfn.IFNA(INDEX(teams[name],MATCH(G209,teams[id],0)),"")</f>
        <v/>
      </c>
      <c r="I209" s="46"/>
      <c r="J209" s="47"/>
      <c r="K209" s="48"/>
      <c r="L209" s="42" t="b">
        <f t="shared" si="26"/>
        <v>0</v>
      </c>
    </row>
    <row r="210" spans="1:12" ht="18" customHeight="1" x14ac:dyDescent="0.3">
      <c r="A210" s="41">
        <f t="shared" si="25"/>
        <v>38</v>
      </c>
      <c r="B210" s="41" t="s">
        <v>53</v>
      </c>
      <c r="C210" s="196"/>
      <c r="D210" s="65" t="str">
        <f>INDEX(fields[name],MATCH($B210,fields[field],0))</f>
        <v>Βόλεϊ</v>
      </c>
      <c r="E210" s="66" t="str">
        <f t="array" aca="1" ref="E210" ca="1">IF(ISBLANK($A210),"",INDEX(games[th],MATCH(1,(games[r]=$A210)*(games[field]=$B210),0)))</f>
        <v/>
      </c>
      <c r="F210" s="67" t="str">
        <f ca="1">_xlfn.IFNA(INDEX(teams[name],MATCH(E210,teams[id],0)),"")</f>
        <v/>
      </c>
      <c r="G210" s="68" t="str">
        <f t="array" aca="1" ref="G210" ca="1">IF(ISBLANK($A210),"",INDEX(games[ta],MATCH(1,(games[r]=$A210)*(games[field]=$B210),0)))</f>
        <v/>
      </c>
      <c r="H210" s="67" t="str">
        <f ca="1">_xlfn.IFNA(INDEX(teams[name],MATCH(G210,teams[id],0)),"")</f>
        <v/>
      </c>
      <c r="I210" s="69"/>
      <c r="J210" s="70"/>
      <c r="K210" s="71"/>
      <c r="L210" s="42" t="b">
        <f t="shared" si="26"/>
        <v>0</v>
      </c>
    </row>
    <row r="211" spans="1:12" ht="18" customHeight="1" thickBot="1" x14ac:dyDescent="0.35">
      <c r="A211" s="41">
        <f t="shared" si="25"/>
        <v>38</v>
      </c>
      <c r="B211" s="41" t="s">
        <v>54</v>
      </c>
      <c r="C211" s="197"/>
      <c r="D211" s="63" t="str">
        <f>INDEX(fields[name],MATCH($B211,fields[field],0))</f>
        <v>Μπέιζμπολ</v>
      </c>
      <c r="E211" s="54" t="str">
        <f t="array" aca="1" ref="E211" ca="1">IF(ISBLANK($A211),"",INDEX(games[th],MATCH(1,(games[r]=$A211)*(games[field]=$B211),0)))</f>
        <v/>
      </c>
      <c r="F211" s="60" t="str">
        <f ca="1">_xlfn.IFNA(INDEX(teams[name],MATCH(E211,teams[id],0)),"")</f>
        <v/>
      </c>
      <c r="G211" s="57" t="str">
        <f t="array" aca="1" ref="G211" ca="1">IF(ISBLANK($A211),"",INDEX(games[ta],MATCH(1,(games[r]=$A211)*(games[field]=$B211),0)))</f>
        <v/>
      </c>
      <c r="H211" s="60" t="str">
        <f ca="1">_xlfn.IFNA(INDEX(teams[name],MATCH(G211,teams[id],0)),"")</f>
        <v/>
      </c>
      <c r="I211" s="49"/>
      <c r="J211" s="50"/>
      <c r="K211" s="51"/>
      <c r="L211" s="42" t="b">
        <f t="shared" si="26"/>
        <v>0</v>
      </c>
    </row>
    <row r="212" spans="1:12" ht="18" customHeight="1" thickTop="1" x14ac:dyDescent="0.3">
      <c r="A212" s="41">
        <f t="shared" si="25"/>
        <v>39</v>
      </c>
      <c r="B212" s="41" t="s">
        <v>3</v>
      </c>
      <c r="C212" s="192" t="s">
        <v>50</v>
      </c>
      <c r="D212" s="61" t="str">
        <f>INDEX(fields[name],MATCH($B212,fields[field],0))</f>
        <v>Π Ποδόσφαιρο</v>
      </c>
      <c r="E212" s="52" t="str">
        <f t="array" aca="1" ref="E212" ca="1">IF(ISBLANK($A212),"",INDEX(games[th],MATCH(1,(games[r]=$A212)*(games[field]=$B212),0)))</f>
        <v/>
      </c>
      <c r="F212" s="58" t="str">
        <f ca="1">_xlfn.IFNA(INDEX(teams[name],MATCH(E212,teams[id],0)),"")</f>
        <v/>
      </c>
      <c r="G212" s="55" t="str">
        <f t="array" aca="1" ref="G212" ca="1">IF(ISBLANK($A212),"",INDEX(games[ta],MATCH(1,(games[r]=$A212)*(games[field]=$B212),0)))</f>
        <v/>
      </c>
      <c r="H212" s="58" t="str">
        <f ca="1">_xlfn.IFNA(INDEX(teams[name],MATCH(G212,teams[id],0)),"")</f>
        <v/>
      </c>
      <c r="I212" s="43"/>
      <c r="J212" s="44"/>
      <c r="K212" s="45"/>
      <c r="L212" s="42" t="b">
        <f>NOT(OR(ISBLANK($I212),ISBLANK($J212)))</f>
        <v>0</v>
      </c>
    </row>
    <row r="213" spans="1:12" ht="18" customHeight="1" x14ac:dyDescent="0.3">
      <c r="A213" s="41">
        <f t="shared" si="25"/>
        <v>39</v>
      </c>
      <c r="B213" s="41" t="s">
        <v>4</v>
      </c>
      <c r="C213" s="193"/>
      <c r="D213" s="62" t="str">
        <f>INDEX(fields[name],MATCH($B213,fields[field],0))</f>
        <v>Κ Ποδόσφαιρο</v>
      </c>
      <c r="E213" s="53" t="str">
        <f t="array" aca="1" ref="E213" ca="1">IF(ISBLANK($A213),"",INDEX(games[th],MATCH(1,(games[r]=$A213)*(games[field]=$B213),0)))</f>
        <v/>
      </c>
      <c r="F213" s="59" t="str">
        <f ca="1">_xlfn.IFNA(INDEX(teams[name],MATCH(E213,teams[id],0)),"")</f>
        <v/>
      </c>
      <c r="G213" s="56" t="str">
        <f t="array" aca="1" ref="G213" ca="1">IF(ISBLANK($A213),"",INDEX(games[ta],MATCH(1,(games[r]=$A213)*(games[field]=$B213),0)))</f>
        <v/>
      </c>
      <c r="H213" s="59" t="str">
        <f ca="1">_xlfn.IFNA(INDEX(teams[name],MATCH(G213,teams[id],0)),"")</f>
        <v/>
      </c>
      <c r="I213" s="46"/>
      <c r="J213" s="47"/>
      <c r="K213" s="48"/>
      <c r="L213" s="42" t="b">
        <f t="shared" ref="L213:L221" si="27">NOT(OR(ISBLANK($I213),ISBLANK($J213)))</f>
        <v>0</v>
      </c>
    </row>
    <row r="214" spans="1:12" ht="18" customHeight="1" x14ac:dyDescent="0.3">
      <c r="A214" s="41">
        <f t="shared" si="25"/>
        <v>39</v>
      </c>
      <c r="B214" s="41" t="s">
        <v>5</v>
      </c>
      <c r="C214" s="193"/>
      <c r="D214" s="62" t="str">
        <f>INDEX(fields[name],MATCH($B214,fields[field],0))</f>
        <v>Μπάσκετ</v>
      </c>
      <c r="E214" s="53" t="str">
        <f t="array" aca="1" ref="E214" ca="1">IF(ISBLANK($A214),"",INDEX(games[th],MATCH(1,(games[r]=$A214)*(games[field]=$B214),0)))</f>
        <v/>
      </c>
      <c r="F214" s="59" t="str">
        <f ca="1">_xlfn.IFNA(INDEX(teams[name],MATCH(E214,teams[id],0)),"")</f>
        <v/>
      </c>
      <c r="G214" s="56" t="str">
        <f t="array" aca="1" ref="G214" ca="1">IF(ISBLANK($A214),"",INDEX(games[ta],MATCH(1,(games[r]=$A214)*(games[field]=$B214),0)))</f>
        <v/>
      </c>
      <c r="H214" s="59" t="str">
        <f ca="1">_xlfn.IFNA(INDEX(teams[name],MATCH(G214,teams[id],0)),"")</f>
        <v/>
      </c>
      <c r="I214" s="46"/>
      <c r="J214" s="47"/>
      <c r="K214" s="48"/>
      <c r="L214" s="42" t="b">
        <f t="shared" si="27"/>
        <v>0</v>
      </c>
    </row>
    <row r="215" spans="1:12" ht="18" customHeight="1" x14ac:dyDescent="0.3">
      <c r="A215" s="41">
        <f t="shared" si="25"/>
        <v>39</v>
      </c>
      <c r="B215" s="41" t="s">
        <v>53</v>
      </c>
      <c r="C215" s="193"/>
      <c r="D215" s="62" t="str">
        <f>INDEX(fields[name],MATCH($B215,fields[field],0))</f>
        <v>Βόλεϊ</v>
      </c>
      <c r="E215" s="53" t="str">
        <f t="array" aca="1" ref="E215" ca="1">IF(ISBLANK($A215),"",INDEX(games[th],MATCH(1,(games[r]=$A215)*(games[field]=$B215),0)))</f>
        <v/>
      </c>
      <c r="F215" s="59" t="str">
        <f ca="1">_xlfn.IFNA(INDEX(teams[name],MATCH(E215,teams[id],0)),"")</f>
        <v/>
      </c>
      <c r="G215" s="56" t="str">
        <f t="array" aca="1" ref="G215" ca="1">IF(ISBLANK($A215),"",INDEX(games[ta],MATCH(1,(games[r]=$A215)*(games[field]=$B215),0)))</f>
        <v/>
      </c>
      <c r="H215" s="59" t="str">
        <f ca="1">_xlfn.IFNA(INDEX(teams[name],MATCH(G215,teams[id],0)),"")</f>
        <v/>
      </c>
      <c r="I215" s="46"/>
      <c r="J215" s="47"/>
      <c r="K215" s="48"/>
      <c r="L215" s="42" t="b">
        <f t="shared" si="27"/>
        <v>0</v>
      </c>
    </row>
    <row r="216" spans="1:12" ht="18" customHeight="1" x14ac:dyDescent="0.3">
      <c r="A216" s="41">
        <f t="shared" si="25"/>
        <v>39</v>
      </c>
      <c r="B216" s="41" t="s">
        <v>54</v>
      </c>
      <c r="C216" s="194"/>
      <c r="D216" s="79" t="str">
        <f>INDEX(fields[name],MATCH($B216,fields[field],0))</f>
        <v>Μπέιζμπολ</v>
      </c>
      <c r="E216" s="80" t="str">
        <f t="array" aca="1" ref="E216" ca="1">IF(ISBLANK($A216),"",INDEX(games[th],MATCH(1,(games[r]=$A216)*(games[field]=$B216),0)))</f>
        <v/>
      </c>
      <c r="F216" s="81" t="str">
        <f ca="1">_xlfn.IFNA(INDEX(teams[name],MATCH(E216,teams[id],0)),"")</f>
        <v/>
      </c>
      <c r="G216" s="82" t="str">
        <f t="array" aca="1" ref="G216" ca="1">IF(ISBLANK($A216),"",INDEX(games[ta],MATCH(1,(games[r]=$A216)*(games[field]=$B216),0)))</f>
        <v/>
      </c>
      <c r="H216" s="81" t="str">
        <f ca="1">_xlfn.IFNA(INDEX(teams[name],MATCH(G216,teams[id],0)),"")</f>
        <v/>
      </c>
      <c r="I216" s="83"/>
      <c r="J216" s="84"/>
      <c r="K216" s="85"/>
      <c r="L216" s="42" t="b">
        <f t="shared" si="27"/>
        <v>0</v>
      </c>
    </row>
    <row r="217" spans="1:12" ht="18" customHeight="1" x14ac:dyDescent="0.3">
      <c r="A217" s="41">
        <f t="shared" si="25"/>
        <v>40</v>
      </c>
      <c r="B217" s="41" t="s">
        <v>3</v>
      </c>
      <c r="C217" s="195" t="s">
        <v>51</v>
      </c>
      <c r="D217" s="72" t="str">
        <f>INDEX(fields[name],MATCH($B217,fields[field],0))</f>
        <v>Π Ποδόσφαιρο</v>
      </c>
      <c r="E217" s="73" t="str">
        <f t="array" aca="1" ref="E217" ca="1">IF(ISBLANK($A217),"",INDEX(games[th],MATCH(1,(games[r]=$A217)*(games[field]=$B217),0)))</f>
        <v/>
      </c>
      <c r="F217" s="74" t="str">
        <f ca="1">_xlfn.IFNA(INDEX(teams[name],MATCH(E217,teams[id],0)),"")</f>
        <v/>
      </c>
      <c r="G217" s="75" t="str">
        <f t="array" aca="1" ref="G217" ca="1">IF(ISBLANK($A217),"",INDEX(games[ta],MATCH(1,(games[r]=$A217)*(games[field]=$B217),0)))</f>
        <v/>
      </c>
      <c r="H217" s="74" t="str">
        <f ca="1">_xlfn.IFNA(INDEX(teams[name],MATCH(G217,teams[id],0)),"")</f>
        <v/>
      </c>
      <c r="I217" s="76"/>
      <c r="J217" s="77"/>
      <c r="K217" s="78"/>
      <c r="L217" s="42" t="b">
        <f t="shared" si="27"/>
        <v>0</v>
      </c>
    </row>
    <row r="218" spans="1:12" ht="18" customHeight="1" x14ac:dyDescent="0.3">
      <c r="A218" s="41">
        <f t="shared" si="25"/>
        <v>40</v>
      </c>
      <c r="B218" s="41" t="s">
        <v>4</v>
      </c>
      <c r="C218" s="193"/>
      <c r="D218" s="62" t="str">
        <f>INDEX(fields[name],MATCH($B218,fields[field],0))</f>
        <v>Κ Ποδόσφαιρο</v>
      </c>
      <c r="E218" s="53" t="str">
        <f t="array" aca="1" ref="E218" ca="1">IF(ISBLANK($A218),"",INDEX(games[th],MATCH(1,(games[r]=$A218)*(games[field]=$B218),0)))</f>
        <v/>
      </c>
      <c r="F218" s="59" t="str">
        <f ca="1">_xlfn.IFNA(INDEX(teams[name],MATCH(E218,teams[id],0)),"")</f>
        <v/>
      </c>
      <c r="G218" s="56" t="str">
        <f t="array" aca="1" ref="G218" ca="1">IF(ISBLANK($A218),"",INDEX(games[ta],MATCH(1,(games[r]=$A218)*(games[field]=$B218),0)))</f>
        <v/>
      </c>
      <c r="H218" s="59" t="str">
        <f ca="1">_xlfn.IFNA(INDEX(teams[name],MATCH(G218,teams[id],0)),"")</f>
        <v/>
      </c>
      <c r="I218" s="46"/>
      <c r="J218" s="47"/>
      <c r="K218" s="48"/>
      <c r="L218" s="42" t="b">
        <f t="shared" si="27"/>
        <v>0</v>
      </c>
    </row>
    <row r="219" spans="1:12" ht="18" customHeight="1" x14ac:dyDescent="0.3">
      <c r="A219" s="41">
        <f t="shared" si="25"/>
        <v>40</v>
      </c>
      <c r="B219" s="41" t="s">
        <v>5</v>
      </c>
      <c r="C219" s="193"/>
      <c r="D219" s="62" t="str">
        <f>INDEX(fields[name],MATCH($B219,fields[field],0))</f>
        <v>Μπάσκετ</v>
      </c>
      <c r="E219" s="53" t="str">
        <f t="array" aca="1" ref="E219" ca="1">IF(ISBLANK($A219),"",INDEX(games[th],MATCH(1,(games[r]=$A219)*(games[field]=$B219),0)))</f>
        <v/>
      </c>
      <c r="F219" s="59" t="str">
        <f ca="1">_xlfn.IFNA(INDEX(teams[name],MATCH(E219,teams[id],0)),"")</f>
        <v/>
      </c>
      <c r="G219" s="56" t="str">
        <f t="array" aca="1" ref="G219" ca="1">IF(ISBLANK($A219),"",INDEX(games[ta],MATCH(1,(games[r]=$A219)*(games[field]=$B219),0)))</f>
        <v/>
      </c>
      <c r="H219" s="59" t="str">
        <f ca="1">_xlfn.IFNA(INDEX(teams[name],MATCH(G219,teams[id],0)),"")</f>
        <v/>
      </c>
      <c r="I219" s="46"/>
      <c r="J219" s="47"/>
      <c r="K219" s="48"/>
      <c r="L219" s="42" t="b">
        <f t="shared" si="27"/>
        <v>0</v>
      </c>
    </row>
    <row r="220" spans="1:12" ht="18" customHeight="1" x14ac:dyDescent="0.3">
      <c r="A220" s="41">
        <f t="shared" si="25"/>
        <v>40</v>
      </c>
      <c r="B220" s="41" t="s">
        <v>53</v>
      </c>
      <c r="C220" s="196"/>
      <c r="D220" s="65" t="str">
        <f>INDEX(fields[name],MATCH($B220,fields[field],0))</f>
        <v>Βόλεϊ</v>
      </c>
      <c r="E220" s="66" t="str">
        <f t="array" aca="1" ref="E220" ca="1">IF(ISBLANK($A220),"",INDEX(games[th],MATCH(1,(games[r]=$A220)*(games[field]=$B220),0)))</f>
        <v/>
      </c>
      <c r="F220" s="67" t="str">
        <f ca="1">_xlfn.IFNA(INDEX(teams[name],MATCH(E220,teams[id],0)),"")</f>
        <v/>
      </c>
      <c r="G220" s="68" t="str">
        <f t="array" aca="1" ref="G220" ca="1">IF(ISBLANK($A220),"",INDEX(games[ta],MATCH(1,(games[r]=$A220)*(games[field]=$B220),0)))</f>
        <v/>
      </c>
      <c r="H220" s="67" t="str">
        <f ca="1">_xlfn.IFNA(INDEX(teams[name],MATCH(G220,teams[id],0)),"")</f>
        <v/>
      </c>
      <c r="I220" s="69"/>
      <c r="J220" s="70"/>
      <c r="K220" s="71"/>
      <c r="L220" s="42" t="b">
        <f t="shared" si="27"/>
        <v>0</v>
      </c>
    </row>
    <row r="221" spans="1:12" ht="18" customHeight="1" thickBot="1" x14ac:dyDescent="0.35">
      <c r="A221" s="41">
        <f t="shared" si="25"/>
        <v>40</v>
      </c>
      <c r="B221" s="41" t="s">
        <v>54</v>
      </c>
      <c r="C221" s="198"/>
      <c r="D221" s="64" t="str">
        <f>INDEX(fields[name],MATCH($B221,fields[field],0))</f>
        <v>Μπέιζμπολ</v>
      </c>
      <c r="E221" s="54" t="str">
        <f t="array" aca="1" ref="E221" ca="1">IF(ISBLANK($A221),"",INDEX(games[th],MATCH(1,(games[r]=$A221)*(games[field]=$B221),0)))</f>
        <v/>
      </c>
      <c r="F221" s="60" t="str">
        <f ca="1">_xlfn.IFNA(INDEX(teams[name],MATCH(E221,teams[id],0)),"")</f>
        <v/>
      </c>
      <c r="G221" s="57" t="str">
        <f t="array" aca="1" ref="G221" ca="1">IF(ISBLANK($A221),"",INDEX(games[ta],MATCH(1,(games[r]=$A221)*(games[field]=$B221),0)))</f>
        <v/>
      </c>
      <c r="H221" s="60" t="str">
        <f ca="1">_xlfn.IFNA(INDEX(teams[name],MATCH(G221,teams[id],0)),"")</f>
        <v/>
      </c>
      <c r="I221" s="88"/>
      <c r="J221" s="89"/>
      <c r="K221" s="90"/>
      <c r="L221" s="42" t="b">
        <f t="shared" si="27"/>
        <v>0</v>
      </c>
    </row>
    <row r="222" spans="1:12" ht="18" customHeight="1" thickBot="1" x14ac:dyDescent="0.35"/>
    <row r="223" spans="1:12" ht="18" customHeight="1" thickBot="1" x14ac:dyDescent="0.35">
      <c r="C223" s="189">
        <f>C201+1</f>
        <v>46254</v>
      </c>
      <c r="D223" s="190"/>
      <c r="E223" s="190"/>
      <c r="F223" s="190"/>
      <c r="G223" s="190"/>
      <c r="H223" s="190"/>
      <c r="I223" s="190"/>
      <c r="J223" s="190"/>
      <c r="K223" s="191"/>
    </row>
    <row r="224" spans="1:12" ht="18" customHeight="1" thickTop="1" x14ac:dyDescent="0.3">
      <c r="A224" s="41">
        <f>A202+4</f>
        <v>41</v>
      </c>
      <c r="B224" s="41" t="s">
        <v>3</v>
      </c>
      <c r="C224" s="192" t="s">
        <v>48</v>
      </c>
      <c r="D224" s="61" t="str">
        <f>INDEX(fields[name],MATCH($B224,fields[field],0))</f>
        <v>Π Ποδόσφαιρο</v>
      </c>
      <c r="E224" s="52" t="str">
        <f t="array" aca="1" ref="E224" ca="1">IF(ISBLANK($A224),"",INDEX(games[th],MATCH(1,(games[r]=$A224)*(games[field]=$B224),0)))</f>
        <v/>
      </c>
      <c r="F224" s="58" t="str">
        <f ca="1">_xlfn.IFNA(INDEX(teams[name],MATCH(E224,teams[id],0)),"")</f>
        <v/>
      </c>
      <c r="G224" s="55" t="str">
        <f t="array" aca="1" ref="G224" ca="1">IF(ISBLANK($A224),"",INDEX(games[ta],MATCH(1,(games[r]=$A224)*(games[field]=$B224),0)))</f>
        <v/>
      </c>
      <c r="H224" s="58" t="str">
        <f ca="1">_xlfn.IFNA(INDEX(teams[name],MATCH(G224,teams[id],0)),"")</f>
        <v/>
      </c>
      <c r="I224" s="43"/>
      <c r="J224" s="44"/>
      <c r="K224" s="45"/>
      <c r="L224" s="42" t="b">
        <f>NOT(OR(ISBLANK($I224),ISBLANK($J224)))</f>
        <v>0</v>
      </c>
    </row>
    <row r="225" spans="1:12" ht="18" customHeight="1" x14ac:dyDescent="0.3">
      <c r="A225" s="41">
        <f t="shared" ref="A225:A243" si="28">A203+4</f>
        <v>41</v>
      </c>
      <c r="B225" s="41" t="s">
        <v>4</v>
      </c>
      <c r="C225" s="193"/>
      <c r="D225" s="62" t="str">
        <f>INDEX(fields[name],MATCH($B225,fields[field],0))</f>
        <v>Κ Ποδόσφαιρο</v>
      </c>
      <c r="E225" s="53" t="str">
        <f t="array" aca="1" ref="E225" ca="1">IF(ISBLANK($A225),"",INDEX(games[th],MATCH(1,(games[r]=$A225)*(games[field]=$B225),0)))</f>
        <v/>
      </c>
      <c r="F225" s="59" t="str">
        <f ca="1">_xlfn.IFNA(INDEX(teams[name],MATCH(E225,teams[id],0)),"")</f>
        <v/>
      </c>
      <c r="G225" s="56" t="str">
        <f t="array" aca="1" ref="G225" ca="1">IF(ISBLANK($A225),"",INDEX(games[ta],MATCH(1,(games[r]=$A225)*(games[field]=$B225),0)))</f>
        <v/>
      </c>
      <c r="H225" s="59" t="str">
        <f ca="1">_xlfn.IFNA(INDEX(teams[name],MATCH(G225,teams[id],0)),"")</f>
        <v/>
      </c>
      <c r="I225" s="46"/>
      <c r="J225" s="47"/>
      <c r="K225" s="48"/>
      <c r="L225" s="42" t="b">
        <f t="shared" ref="L225:L233" si="29">NOT(OR(ISBLANK($I225),ISBLANK($J225)))</f>
        <v>0</v>
      </c>
    </row>
    <row r="226" spans="1:12" ht="18" customHeight="1" x14ac:dyDescent="0.3">
      <c r="A226" s="41">
        <f t="shared" si="28"/>
        <v>41</v>
      </c>
      <c r="B226" s="41" t="s">
        <v>5</v>
      </c>
      <c r="C226" s="193"/>
      <c r="D226" s="62" t="str">
        <f>INDEX(fields[name],MATCH($B226,fields[field],0))</f>
        <v>Μπάσκετ</v>
      </c>
      <c r="E226" s="53" t="str">
        <f t="array" aca="1" ref="E226" ca="1">IF(ISBLANK($A226),"",INDEX(games[th],MATCH(1,(games[r]=$A226)*(games[field]=$B226),0)))</f>
        <v/>
      </c>
      <c r="F226" s="59" t="str">
        <f ca="1">_xlfn.IFNA(INDEX(teams[name],MATCH(E226,teams[id],0)),"")</f>
        <v/>
      </c>
      <c r="G226" s="56" t="str">
        <f t="array" aca="1" ref="G226" ca="1">IF(ISBLANK($A226),"",INDEX(games[ta],MATCH(1,(games[r]=$A226)*(games[field]=$B226),0)))</f>
        <v/>
      </c>
      <c r="H226" s="59" t="str">
        <f ca="1">_xlfn.IFNA(INDEX(teams[name],MATCH(G226,teams[id],0)),"")</f>
        <v/>
      </c>
      <c r="I226" s="46"/>
      <c r="J226" s="47"/>
      <c r="K226" s="48"/>
      <c r="L226" s="42" t="b">
        <f t="shared" si="29"/>
        <v>0</v>
      </c>
    </row>
    <row r="227" spans="1:12" ht="18" customHeight="1" x14ac:dyDescent="0.3">
      <c r="A227" s="41">
        <f t="shared" si="28"/>
        <v>41</v>
      </c>
      <c r="B227" s="41" t="s">
        <v>53</v>
      </c>
      <c r="C227" s="193"/>
      <c r="D227" s="62" t="str">
        <f>INDEX(fields[name],MATCH($B227,fields[field],0))</f>
        <v>Βόλεϊ</v>
      </c>
      <c r="E227" s="53" t="str">
        <f t="array" aca="1" ref="E227" ca="1">IF(ISBLANK($A227),"",INDEX(games[th],MATCH(1,(games[r]=$A227)*(games[field]=$B227),0)))</f>
        <v/>
      </c>
      <c r="F227" s="59" t="str">
        <f ca="1">_xlfn.IFNA(INDEX(teams[name],MATCH(E227,teams[id],0)),"")</f>
        <v/>
      </c>
      <c r="G227" s="56" t="str">
        <f t="array" aca="1" ref="G227" ca="1">IF(ISBLANK($A227),"",INDEX(games[ta],MATCH(1,(games[r]=$A227)*(games[field]=$B227),0)))</f>
        <v/>
      </c>
      <c r="H227" s="59" t="str">
        <f ca="1">_xlfn.IFNA(INDEX(teams[name],MATCH(G227,teams[id],0)),"")</f>
        <v/>
      </c>
      <c r="I227" s="46"/>
      <c r="J227" s="47"/>
      <c r="K227" s="48"/>
      <c r="L227" s="42" t="b">
        <f t="shared" si="29"/>
        <v>0</v>
      </c>
    </row>
    <row r="228" spans="1:12" ht="18" customHeight="1" x14ac:dyDescent="0.3">
      <c r="A228" s="41">
        <f t="shared" si="28"/>
        <v>41</v>
      </c>
      <c r="B228" s="41" t="s">
        <v>54</v>
      </c>
      <c r="C228" s="194"/>
      <c r="D228" s="79" t="str">
        <f>INDEX(fields[name],MATCH($B228,fields[field],0))</f>
        <v>Μπέιζμπολ</v>
      </c>
      <c r="E228" s="80" t="str">
        <f t="array" aca="1" ref="E228" ca="1">IF(ISBLANK($A228),"",INDEX(games[th],MATCH(1,(games[r]=$A228)*(games[field]=$B228),0)))</f>
        <v/>
      </c>
      <c r="F228" s="81" t="str">
        <f ca="1">_xlfn.IFNA(INDEX(teams[name],MATCH(E228,teams[id],0)),"")</f>
        <v/>
      </c>
      <c r="G228" s="82" t="str">
        <f t="array" aca="1" ref="G228" ca="1">IF(ISBLANK($A228),"",INDEX(games[ta],MATCH(1,(games[r]=$A228)*(games[field]=$B228),0)))</f>
        <v/>
      </c>
      <c r="H228" s="81" t="str">
        <f ca="1">_xlfn.IFNA(INDEX(teams[name],MATCH(G228,teams[id],0)),"")</f>
        <v/>
      </c>
      <c r="I228" s="83"/>
      <c r="J228" s="84"/>
      <c r="K228" s="85"/>
      <c r="L228" s="42" t="b">
        <f t="shared" si="29"/>
        <v>0</v>
      </c>
    </row>
    <row r="229" spans="1:12" ht="18" customHeight="1" x14ac:dyDescent="0.3">
      <c r="A229" s="41">
        <f t="shared" si="28"/>
        <v>42</v>
      </c>
      <c r="B229" s="41" t="s">
        <v>3</v>
      </c>
      <c r="C229" s="195" t="s">
        <v>49</v>
      </c>
      <c r="D229" s="72" t="str">
        <f>INDEX(fields[name],MATCH($B229,fields[field],0))</f>
        <v>Π Ποδόσφαιρο</v>
      </c>
      <c r="E229" s="73" t="str">
        <f t="array" aca="1" ref="E229" ca="1">IF(ISBLANK($A229),"",INDEX(games[th],MATCH(1,(games[r]=$A229)*(games[field]=$B229),0)))</f>
        <v/>
      </c>
      <c r="F229" s="74" t="str">
        <f ca="1">_xlfn.IFNA(INDEX(teams[name],MATCH(E229,teams[id],0)),"")</f>
        <v/>
      </c>
      <c r="G229" s="75" t="str">
        <f t="array" aca="1" ref="G229" ca="1">IF(ISBLANK($A229),"",INDEX(games[ta],MATCH(1,(games[r]=$A229)*(games[field]=$B229),0)))</f>
        <v/>
      </c>
      <c r="H229" s="74" t="str">
        <f ca="1">_xlfn.IFNA(INDEX(teams[name],MATCH(G229,teams[id],0)),"")</f>
        <v/>
      </c>
      <c r="I229" s="76"/>
      <c r="J229" s="77"/>
      <c r="K229" s="78"/>
      <c r="L229" s="42" t="b">
        <f t="shared" si="29"/>
        <v>0</v>
      </c>
    </row>
    <row r="230" spans="1:12" ht="18" customHeight="1" x14ac:dyDescent="0.3">
      <c r="A230" s="41">
        <f t="shared" si="28"/>
        <v>42</v>
      </c>
      <c r="B230" s="41" t="s">
        <v>4</v>
      </c>
      <c r="C230" s="193"/>
      <c r="D230" s="62" t="str">
        <f>INDEX(fields[name],MATCH($B230,fields[field],0))</f>
        <v>Κ Ποδόσφαιρο</v>
      </c>
      <c r="E230" s="53" t="str">
        <f t="array" aca="1" ref="E230" ca="1">IF(ISBLANK($A230),"",INDEX(games[th],MATCH(1,(games[r]=$A230)*(games[field]=$B230),0)))</f>
        <v/>
      </c>
      <c r="F230" s="59" t="str">
        <f ca="1">_xlfn.IFNA(INDEX(teams[name],MATCH(E230,teams[id],0)),"")</f>
        <v/>
      </c>
      <c r="G230" s="56" t="str">
        <f t="array" aca="1" ref="G230" ca="1">IF(ISBLANK($A230),"",INDEX(games[ta],MATCH(1,(games[r]=$A230)*(games[field]=$B230),0)))</f>
        <v/>
      </c>
      <c r="H230" s="59" t="str">
        <f ca="1">_xlfn.IFNA(INDEX(teams[name],MATCH(G230,teams[id],0)),"")</f>
        <v/>
      </c>
      <c r="I230" s="46"/>
      <c r="J230" s="47"/>
      <c r="K230" s="48"/>
      <c r="L230" s="42" t="b">
        <f t="shared" si="29"/>
        <v>0</v>
      </c>
    </row>
    <row r="231" spans="1:12" ht="18" customHeight="1" x14ac:dyDescent="0.3">
      <c r="A231" s="41">
        <f t="shared" si="28"/>
        <v>42</v>
      </c>
      <c r="B231" s="41" t="s">
        <v>5</v>
      </c>
      <c r="C231" s="193"/>
      <c r="D231" s="62" t="str">
        <f>INDEX(fields[name],MATCH($B231,fields[field],0))</f>
        <v>Μπάσκετ</v>
      </c>
      <c r="E231" s="53" t="str">
        <f t="array" aca="1" ref="E231" ca="1">IF(ISBLANK($A231),"",INDEX(games[th],MATCH(1,(games[r]=$A231)*(games[field]=$B231),0)))</f>
        <v/>
      </c>
      <c r="F231" s="59" t="str">
        <f ca="1">_xlfn.IFNA(INDEX(teams[name],MATCH(E231,teams[id],0)),"")</f>
        <v/>
      </c>
      <c r="G231" s="56" t="str">
        <f t="array" aca="1" ref="G231" ca="1">IF(ISBLANK($A231),"",INDEX(games[ta],MATCH(1,(games[r]=$A231)*(games[field]=$B231),0)))</f>
        <v/>
      </c>
      <c r="H231" s="59" t="str">
        <f ca="1">_xlfn.IFNA(INDEX(teams[name],MATCH(G231,teams[id],0)),"")</f>
        <v/>
      </c>
      <c r="I231" s="46"/>
      <c r="J231" s="47"/>
      <c r="K231" s="48"/>
      <c r="L231" s="42" t="b">
        <f t="shared" si="29"/>
        <v>0</v>
      </c>
    </row>
    <row r="232" spans="1:12" ht="18" customHeight="1" x14ac:dyDescent="0.3">
      <c r="A232" s="41">
        <f t="shared" si="28"/>
        <v>42</v>
      </c>
      <c r="B232" s="41" t="s">
        <v>53</v>
      </c>
      <c r="C232" s="196"/>
      <c r="D232" s="65" t="str">
        <f>INDEX(fields[name],MATCH($B232,fields[field],0))</f>
        <v>Βόλεϊ</v>
      </c>
      <c r="E232" s="66" t="str">
        <f t="array" aca="1" ref="E232" ca="1">IF(ISBLANK($A232),"",INDEX(games[th],MATCH(1,(games[r]=$A232)*(games[field]=$B232),0)))</f>
        <v/>
      </c>
      <c r="F232" s="67" t="str">
        <f ca="1">_xlfn.IFNA(INDEX(teams[name],MATCH(E232,teams[id],0)),"")</f>
        <v/>
      </c>
      <c r="G232" s="68" t="str">
        <f t="array" aca="1" ref="G232" ca="1">IF(ISBLANK($A232),"",INDEX(games[ta],MATCH(1,(games[r]=$A232)*(games[field]=$B232),0)))</f>
        <v/>
      </c>
      <c r="H232" s="67" t="str">
        <f ca="1">_xlfn.IFNA(INDEX(teams[name],MATCH(G232,teams[id],0)),"")</f>
        <v/>
      </c>
      <c r="I232" s="69"/>
      <c r="J232" s="70"/>
      <c r="K232" s="71"/>
      <c r="L232" s="42" t="b">
        <f t="shared" si="29"/>
        <v>0</v>
      </c>
    </row>
    <row r="233" spans="1:12" ht="18" customHeight="1" thickBot="1" x14ac:dyDescent="0.35">
      <c r="A233" s="41">
        <f t="shared" si="28"/>
        <v>42</v>
      </c>
      <c r="B233" s="41" t="s">
        <v>54</v>
      </c>
      <c r="C233" s="197"/>
      <c r="D233" s="63" t="str">
        <f>INDEX(fields[name],MATCH($B233,fields[field],0))</f>
        <v>Μπέιζμπολ</v>
      </c>
      <c r="E233" s="54" t="str">
        <f t="array" aca="1" ref="E233" ca="1">IF(ISBLANK($A233),"",INDEX(games[th],MATCH(1,(games[r]=$A233)*(games[field]=$B233),0)))</f>
        <v/>
      </c>
      <c r="F233" s="60" t="str">
        <f ca="1">_xlfn.IFNA(INDEX(teams[name],MATCH(E233,teams[id],0)),"")</f>
        <v/>
      </c>
      <c r="G233" s="57" t="str">
        <f t="array" aca="1" ref="G233" ca="1">IF(ISBLANK($A233),"",INDEX(games[ta],MATCH(1,(games[r]=$A233)*(games[field]=$B233),0)))</f>
        <v/>
      </c>
      <c r="H233" s="60" t="str">
        <f ca="1">_xlfn.IFNA(INDEX(teams[name],MATCH(G233,teams[id],0)),"")</f>
        <v/>
      </c>
      <c r="I233" s="49"/>
      <c r="J233" s="50"/>
      <c r="K233" s="51"/>
      <c r="L233" s="42" t="b">
        <f t="shared" si="29"/>
        <v>0</v>
      </c>
    </row>
    <row r="234" spans="1:12" ht="18" customHeight="1" thickTop="1" x14ac:dyDescent="0.3">
      <c r="A234" s="41">
        <f t="shared" si="28"/>
        <v>43</v>
      </c>
      <c r="B234" s="41" t="s">
        <v>3</v>
      </c>
      <c r="C234" s="192" t="s">
        <v>50</v>
      </c>
      <c r="D234" s="61" t="str">
        <f>INDEX(fields[name],MATCH($B234,fields[field],0))</f>
        <v>Π Ποδόσφαιρο</v>
      </c>
      <c r="E234" s="52" t="str">
        <f t="array" aca="1" ref="E234" ca="1">IF(ISBLANK($A234),"",INDEX(games[th],MATCH(1,(games[r]=$A234)*(games[field]=$B234),0)))</f>
        <v/>
      </c>
      <c r="F234" s="58" t="str">
        <f ca="1">_xlfn.IFNA(INDEX(teams[name],MATCH(E234,teams[id],0)),"")</f>
        <v/>
      </c>
      <c r="G234" s="55" t="str">
        <f t="array" aca="1" ref="G234" ca="1">IF(ISBLANK($A234),"",INDEX(games[ta],MATCH(1,(games[r]=$A234)*(games[field]=$B234),0)))</f>
        <v/>
      </c>
      <c r="H234" s="58" t="str">
        <f ca="1">_xlfn.IFNA(INDEX(teams[name],MATCH(G234,teams[id],0)),"")</f>
        <v/>
      </c>
      <c r="I234" s="43"/>
      <c r="J234" s="44"/>
      <c r="K234" s="45"/>
      <c r="L234" s="42" t="b">
        <f>NOT(OR(ISBLANK($I234),ISBLANK($J234)))</f>
        <v>0</v>
      </c>
    </row>
    <row r="235" spans="1:12" ht="18" customHeight="1" x14ac:dyDescent="0.3">
      <c r="A235" s="41">
        <f t="shared" si="28"/>
        <v>43</v>
      </c>
      <c r="B235" s="41" t="s">
        <v>4</v>
      </c>
      <c r="C235" s="193"/>
      <c r="D235" s="62" t="str">
        <f>INDEX(fields[name],MATCH($B235,fields[field],0))</f>
        <v>Κ Ποδόσφαιρο</v>
      </c>
      <c r="E235" s="53" t="str">
        <f t="array" aca="1" ref="E235" ca="1">IF(ISBLANK($A235),"",INDEX(games[th],MATCH(1,(games[r]=$A235)*(games[field]=$B235),0)))</f>
        <v/>
      </c>
      <c r="F235" s="59" t="str">
        <f ca="1">_xlfn.IFNA(INDEX(teams[name],MATCH(E235,teams[id],0)),"")</f>
        <v/>
      </c>
      <c r="G235" s="56" t="str">
        <f t="array" aca="1" ref="G235" ca="1">IF(ISBLANK($A235),"",INDEX(games[ta],MATCH(1,(games[r]=$A235)*(games[field]=$B235),0)))</f>
        <v/>
      </c>
      <c r="H235" s="59" t="str">
        <f ca="1">_xlfn.IFNA(INDEX(teams[name],MATCH(G235,teams[id],0)),"")</f>
        <v/>
      </c>
      <c r="I235" s="46"/>
      <c r="J235" s="47"/>
      <c r="K235" s="48"/>
      <c r="L235" s="42" t="b">
        <f t="shared" ref="L235:L243" si="30">NOT(OR(ISBLANK($I235),ISBLANK($J235)))</f>
        <v>0</v>
      </c>
    </row>
    <row r="236" spans="1:12" ht="18" customHeight="1" x14ac:dyDescent="0.3">
      <c r="A236" s="41">
        <f t="shared" si="28"/>
        <v>43</v>
      </c>
      <c r="B236" s="41" t="s">
        <v>5</v>
      </c>
      <c r="C236" s="193"/>
      <c r="D236" s="62" t="str">
        <f>INDEX(fields[name],MATCH($B236,fields[field],0))</f>
        <v>Μπάσκετ</v>
      </c>
      <c r="E236" s="53" t="str">
        <f t="array" aca="1" ref="E236" ca="1">IF(ISBLANK($A236),"",INDEX(games[th],MATCH(1,(games[r]=$A236)*(games[field]=$B236),0)))</f>
        <v/>
      </c>
      <c r="F236" s="59" t="str">
        <f ca="1">_xlfn.IFNA(INDEX(teams[name],MATCH(E236,teams[id],0)),"")</f>
        <v/>
      </c>
      <c r="G236" s="56" t="str">
        <f t="array" aca="1" ref="G236" ca="1">IF(ISBLANK($A236),"",INDEX(games[ta],MATCH(1,(games[r]=$A236)*(games[field]=$B236),0)))</f>
        <v/>
      </c>
      <c r="H236" s="59" t="str">
        <f ca="1">_xlfn.IFNA(INDEX(teams[name],MATCH(G236,teams[id],0)),"")</f>
        <v/>
      </c>
      <c r="I236" s="46"/>
      <c r="J236" s="47"/>
      <c r="K236" s="48"/>
      <c r="L236" s="42" t="b">
        <f t="shared" si="30"/>
        <v>0</v>
      </c>
    </row>
    <row r="237" spans="1:12" ht="18" customHeight="1" x14ac:dyDescent="0.3">
      <c r="A237" s="41">
        <f t="shared" si="28"/>
        <v>43</v>
      </c>
      <c r="B237" s="41" t="s">
        <v>53</v>
      </c>
      <c r="C237" s="193"/>
      <c r="D237" s="62" t="str">
        <f>INDEX(fields[name],MATCH($B237,fields[field],0))</f>
        <v>Βόλεϊ</v>
      </c>
      <c r="E237" s="53" t="str">
        <f t="array" aca="1" ref="E237" ca="1">IF(ISBLANK($A237),"",INDEX(games[th],MATCH(1,(games[r]=$A237)*(games[field]=$B237),0)))</f>
        <v/>
      </c>
      <c r="F237" s="59" t="str">
        <f ca="1">_xlfn.IFNA(INDEX(teams[name],MATCH(E237,teams[id],0)),"")</f>
        <v/>
      </c>
      <c r="G237" s="56" t="str">
        <f t="array" aca="1" ref="G237" ca="1">IF(ISBLANK($A237),"",INDEX(games[ta],MATCH(1,(games[r]=$A237)*(games[field]=$B237),0)))</f>
        <v/>
      </c>
      <c r="H237" s="59" t="str">
        <f ca="1">_xlfn.IFNA(INDEX(teams[name],MATCH(G237,teams[id],0)),"")</f>
        <v/>
      </c>
      <c r="I237" s="46"/>
      <c r="J237" s="47"/>
      <c r="K237" s="48"/>
      <c r="L237" s="42" t="b">
        <f t="shared" si="30"/>
        <v>0</v>
      </c>
    </row>
    <row r="238" spans="1:12" ht="18" customHeight="1" x14ac:dyDescent="0.3">
      <c r="A238" s="41">
        <f t="shared" si="28"/>
        <v>43</v>
      </c>
      <c r="B238" s="41" t="s">
        <v>54</v>
      </c>
      <c r="C238" s="194"/>
      <c r="D238" s="79" t="str">
        <f>INDEX(fields[name],MATCH($B238,fields[field],0))</f>
        <v>Μπέιζμπολ</v>
      </c>
      <c r="E238" s="80" t="str">
        <f t="array" aca="1" ref="E238" ca="1">IF(ISBLANK($A238),"",INDEX(games[th],MATCH(1,(games[r]=$A238)*(games[field]=$B238),0)))</f>
        <v/>
      </c>
      <c r="F238" s="81" t="str">
        <f ca="1">_xlfn.IFNA(INDEX(teams[name],MATCH(E238,teams[id],0)),"")</f>
        <v/>
      </c>
      <c r="G238" s="82" t="str">
        <f t="array" aca="1" ref="G238" ca="1">IF(ISBLANK($A238),"",INDEX(games[ta],MATCH(1,(games[r]=$A238)*(games[field]=$B238),0)))</f>
        <v/>
      </c>
      <c r="H238" s="81" t="str">
        <f ca="1">_xlfn.IFNA(INDEX(teams[name],MATCH(G238,teams[id],0)),"")</f>
        <v/>
      </c>
      <c r="I238" s="83"/>
      <c r="J238" s="84"/>
      <c r="K238" s="85"/>
      <c r="L238" s="42" t="b">
        <f t="shared" si="30"/>
        <v>0</v>
      </c>
    </row>
    <row r="239" spans="1:12" ht="18" customHeight="1" x14ac:dyDescent="0.3">
      <c r="A239" s="41">
        <f t="shared" si="28"/>
        <v>44</v>
      </c>
      <c r="B239" s="41" t="s">
        <v>3</v>
      </c>
      <c r="C239" s="195" t="s">
        <v>51</v>
      </c>
      <c r="D239" s="72" t="str">
        <f>INDEX(fields[name],MATCH($B239,fields[field],0))</f>
        <v>Π Ποδόσφαιρο</v>
      </c>
      <c r="E239" s="73" t="str">
        <f t="array" aca="1" ref="E239" ca="1">IF(ISBLANK($A239),"",INDEX(games[th],MATCH(1,(games[r]=$A239)*(games[field]=$B239),0)))</f>
        <v/>
      </c>
      <c r="F239" s="74" t="str">
        <f ca="1">_xlfn.IFNA(INDEX(teams[name],MATCH(E239,teams[id],0)),"")</f>
        <v/>
      </c>
      <c r="G239" s="75" t="str">
        <f t="array" aca="1" ref="G239" ca="1">IF(ISBLANK($A239),"",INDEX(games[ta],MATCH(1,(games[r]=$A239)*(games[field]=$B239),0)))</f>
        <v/>
      </c>
      <c r="H239" s="74" t="str">
        <f ca="1">_xlfn.IFNA(INDEX(teams[name],MATCH(G239,teams[id],0)),"")</f>
        <v/>
      </c>
      <c r="I239" s="76"/>
      <c r="J239" s="77"/>
      <c r="K239" s="78"/>
      <c r="L239" s="42" t="b">
        <f t="shared" si="30"/>
        <v>0</v>
      </c>
    </row>
    <row r="240" spans="1:12" ht="18" customHeight="1" x14ac:dyDescent="0.3">
      <c r="A240" s="41">
        <f t="shared" si="28"/>
        <v>44</v>
      </c>
      <c r="B240" s="41" t="s">
        <v>4</v>
      </c>
      <c r="C240" s="193"/>
      <c r="D240" s="62" t="str">
        <f>INDEX(fields[name],MATCH($B240,fields[field],0))</f>
        <v>Κ Ποδόσφαιρο</v>
      </c>
      <c r="E240" s="53" t="str">
        <f t="array" aca="1" ref="E240" ca="1">IF(ISBLANK($A240),"",INDEX(games[th],MATCH(1,(games[r]=$A240)*(games[field]=$B240),0)))</f>
        <v/>
      </c>
      <c r="F240" s="59" t="str">
        <f ca="1">_xlfn.IFNA(INDEX(teams[name],MATCH(E240,teams[id],0)),"")</f>
        <v/>
      </c>
      <c r="G240" s="56" t="str">
        <f t="array" aca="1" ref="G240" ca="1">IF(ISBLANK($A240),"",INDEX(games[ta],MATCH(1,(games[r]=$A240)*(games[field]=$B240),0)))</f>
        <v/>
      </c>
      <c r="H240" s="59" t="str">
        <f ca="1">_xlfn.IFNA(INDEX(teams[name],MATCH(G240,teams[id],0)),"")</f>
        <v/>
      </c>
      <c r="I240" s="46"/>
      <c r="J240" s="47"/>
      <c r="K240" s="48"/>
      <c r="L240" s="42" t="b">
        <f t="shared" si="30"/>
        <v>0</v>
      </c>
    </row>
    <row r="241" spans="1:12" ht="18" customHeight="1" x14ac:dyDescent="0.3">
      <c r="A241" s="41">
        <f t="shared" si="28"/>
        <v>44</v>
      </c>
      <c r="B241" s="41" t="s">
        <v>5</v>
      </c>
      <c r="C241" s="193"/>
      <c r="D241" s="62" t="str">
        <f>INDEX(fields[name],MATCH($B241,fields[field],0))</f>
        <v>Μπάσκετ</v>
      </c>
      <c r="E241" s="53" t="str">
        <f t="array" aca="1" ref="E241" ca="1">IF(ISBLANK($A241),"",INDEX(games[th],MATCH(1,(games[r]=$A241)*(games[field]=$B241),0)))</f>
        <v/>
      </c>
      <c r="F241" s="59" t="str">
        <f ca="1">_xlfn.IFNA(INDEX(teams[name],MATCH(E241,teams[id],0)),"")</f>
        <v/>
      </c>
      <c r="G241" s="56" t="str">
        <f t="array" aca="1" ref="G241" ca="1">IF(ISBLANK($A241),"",INDEX(games[ta],MATCH(1,(games[r]=$A241)*(games[field]=$B241),0)))</f>
        <v/>
      </c>
      <c r="H241" s="59" t="str">
        <f ca="1">_xlfn.IFNA(INDEX(teams[name],MATCH(G241,teams[id],0)),"")</f>
        <v/>
      </c>
      <c r="I241" s="46"/>
      <c r="J241" s="47"/>
      <c r="K241" s="48"/>
      <c r="L241" s="42" t="b">
        <f t="shared" si="30"/>
        <v>0</v>
      </c>
    </row>
    <row r="242" spans="1:12" ht="18" customHeight="1" x14ac:dyDescent="0.3">
      <c r="A242" s="41">
        <f t="shared" si="28"/>
        <v>44</v>
      </c>
      <c r="B242" s="41" t="s">
        <v>53</v>
      </c>
      <c r="C242" s="196"/>
      <c r="D242" s="65" t="str">
        <f>INDEX(fields[name],MATCH($B242,fields[field],0))</f>
        <v>Βόλεϊ</v>
      </c>
      <c r="E242" s="66" t="str">
        <f t="array" aca="1" ref="E242" ca="1">IF(ISBLANK($A242),"",INDEX(games[th],MATCH(1,(games[r]=$A242)*(games[field]=$B242),0)))</f>
        <v/>
      </c>
      <c r="F242" s="67" t="str">
        <f ca="1">_xlfn.IFNA(INDEX(teams[name],MATCH(E242,teams[id],0)),"")</f>
        <v/>
      </c>
      <c r="G242" s="68" t="str">
        <f t="array" aca="1" ref="G242" ca="1">IF(ISBLANK($A242),"",INDEX(games[ta],MATCH(1,(games[r]=$A242)*(games[field]=$B242),0)))</f>
        <v/>
      </c>
      <c r="H242" s="67" t="str">
        <f ca="1">_xlfn.IFNA(INDEX(teams[name],MATCH(G242,teams[id],0)),"")</f>
        <v/>
      </c>
      <c r="I242" s="69"/>
      <c r="J242" s="70"/>
      <c r="K242" s="71"/>
      <c r="L242" s="42" t="b">
        <f t="shared" si="30"/>
        <v>0</v>
      </c>
    </row>
    <row r="243" spans="1:12" ht="18" customHeight="1" thickBot="1" x14ac:dyDescent="0.35">
      <c r="A243" s="41">
        <f t="shared" si="28"/>
        <v>44</v>
      </c>
      <c r="B243" s="41" t="s">
        <v>54</v>
      </c>
      <c r="C243" s="198"/>
      <c r="D243" s="64" t="str">
        <f>INDEX(fields[name],MATCH($B243,fields[field],0))</f>
        <v>Μπέιζμπολ</v>
      </c>
      <c r="E243" s="54" t="str">
        <f t="array" aca="1" ref="E243" ca="1">IF(ISBLANK($A243),"",INDEX(games[th],MATCH(1,(games[r]=$A243)*(games[field]=$B243),0)))</f>
        <v/>
      </c>
      <c r="F243" s="60" t="str">
        <f ca="1">_xlfn.IFNA(INDEX(teams[name],MATCH(E243,teams[id],0)),"")</f>
        <v/>
      </c>
      <c r="G243" s="57" t="str">
        <f t="array" aca="1" ref="G243" ca="1">IF(ISBLANK($A243),"",INDEX(games[ta],MATCH(1,(games[r]=$A243)*(games[field]=$B243),0)))</f>
        <v/>
      </c>
      <c r="H243" s="60" t="str">
        <f ca="1">_xlfn.IFNA(INDEX(teams[name],MATCH(G243,teams[id],0)),"")</f>
        <v/>
      </c>
      <c r="I243" s="88"/>
      <c r="J243" s="89"/>
      <c r="K243" s="90"/>
      <c r="L243" s="42" t="b">
        <f t="shared" si="30"/>
        <v>0</v>
      </c>
    </row>
    <row r="244" spans="1:12" ht="18" customHeight="1" thickBot="1" x14ac:dyDescent="0.35"/>
    <row r="245" spans="1:12" ht="18" customHeight="1" thickBot="1" x14ac:dyDescent="0.35">
      <c r="C245" s="189">
        <f>C223+1</f>
        <v>46255</v>
      </c>
      <c r="D245" s="190"/>
      <c r="E245" s="190"/>
      <c r="F245" s="190"/>
      <c r="G245" s="190"/>
      <c r="H245" s="190"/>
      <c r="I245" s="190"/>
      <c r="J245" s="190"/>
      <c r="K245" s="191"/>
    </row>
    <row r="246" spans="1:12" ht="18" customHeight="1" thickTop="1" x14ac:dyDescent="0.3">
      <c r="A246" s="41">
        <f>A224+4</f>
        <v>45</v>
      </c>
      <c r="B246" s="41" t="s">
        <v>3</v>
      </c>
      <c r="C246" s="192" t="s">
        <v>48</v>
      </c>
      <c r="D246" s="61" t="str">
        <f>INDEX(fields[name],MATCH($B246,fields[field],0))</f>
        <v>Π Ποδόσφαιρο</v>
      </c>
      <c r="E246" s="52" t="str">
        <f t="array" aca="1" ref="E246" ca="1">IF(ISBLANK($A246),"",INDEX(games[th],MATCH(1,(games[r]=$A246)*(games[field]=$B246),0)))</f>
        <v/>
      </c>
      <c r="F246" s="58" t="str">
        <f ca="1">_xlfn.IFNA(INDEX(teams[name],MATCH(E246,teams[id],0)),"")</f>
        <v/>
      </c>
      <c r="G246" s="55" t="str">
        <f t="array" aca="1" ref="G246" ca="1">IF(ISBLANK($A246),"",INDEX(games[ta],MATCH(1,(games[r]=$A246)*(games[field]=$B246),0)))</f>
        <v/>
      </c>
      <c r="H246" s="58" t="str">
        <f ca="1">_xlfn.IFNA(INDEX(teams[name],MATCH(G246,teams[id],0)),"")</f>
        <v/>
      </c>
      <c r="I246" s="43"/>
      <c r="J246" s="44"/>
      <c r="K246" s="45"/>
      <c r="L246" s="42" t="b">
        <f>NOT(OR(ISBLANK($I246),ISBLANK($J246)))</f>
        <v>0</v>
      </c>
    </row>
    <row r="247" spans="1:12" ht="18" customHeight="1" x14ac:dyDescent="0.3">
      <c r="A247" s="41">
        <f t="shared" ref="A247:A265" si="31">A225+4</f>
        <v>45</v>
      </c>
      <c r="B247" s="41" t="s">
        <v>4</v>
      </c>
      <c r="C247" s="193"/>
      <c r="D247" s="62" t="str">
        <f>INDEX(fields[name],MATCH($B247,fields[field],0))</f>
        <v>Κ Ποδόσφαιρο</v>
      </c>
      <c r="E247" s="53" t="str">
        <f t="array" aca="1" ref="E247" ca="1">IF(ISBLANK($A247),"",INDEX(games[th],MATCH(1,(games[r]=$A247)*(games[field]=$B247),0)))</f>
        <v/>
      </c>
      <c r="F247" s="59" t="str">
        <f ca="1">_xlfn.IFNA(INDEX(teams[name],MATCH(E247,teams[id],0)),"")</f>
        <v/>
      </c>
      <c r="G247" s="56" t="str">
        <f t="array" aca="1" ref="G247" ca="1">IF(ISBLANK($A247),"",INDEX(games[ta],MATCH(1,(games[r]=$A247)*(games[field]=$B247),0)))</f>
        <v/>
      </c>
      <c r="H247" s="59" t="str">
        <f ca="1">_xlfn.IFNA(INDEX(teams[name],MATCH(G247,teams[id],0)),"")</f>
        <v/>
      </c>
      <c r="I247" s="46"/>
      <c r="J247" s="47"/>
      <c r="K247" s="48"/>
      <c r="L247" s="42" t="b">
        <f t="shared" ref="L247:L255" si="32">NOT(OR(ISBLANK($I247),ISBLANK($J247)))</f>
        <v>0</v>
      </c>
    </row>
    <row r="248" spans="1:12" ht="18" customHeight="1" x14ac:dyDescent="0.3">
      <c r="A248" s="41">
        <f t="shared" si="31"/>
        <v>45</v>
      </c>
      <c r="B248" s="41" t="s">
        <v>5</v>
      </c>
      <c r="C248" s="193"/>
      <c r="D248" s="62" t="str">
        <f>INDEX(fields[name],MATCH($B248,fields[field],0))</f>
        <v>Μπάσκετ</v>
      </c>
      <c r="E248" s="53" t="str">
        <f t="array" aca="1" ref="E248" ca="1">IF(ISBLANK($A248),"",INDEX(games[th],MATCH(1,(games[r]=$A248)*(games[field]=$B248),0)))</f>
        <v/>
      </c>
      <c r="F248" s="59" t="str">
        <f ca="1">_xlfn.IFNA(INDEX(teams[name],MATCH(E248,teams[id],0)),"")</f>
        <v/>
      </c>
      <c r="G248" s="56" t="str">
        <f t="array" aca="1" ref="G248" ca="1">IF(ISBLANK($A248),"",INDEX(games[ta],MATCH(1,(games[r]=$A248)*(games[field]=$B248),0)))</f>
        <v/>
      </c>
      <c r="H248" s="59" t="str">
        <f ca="1">_xlfn.IFNA(INDEX(teams[name],MATCH(G248,teams[id],0)),"")</f>
        <v/>
      </c>
      <c r="I248" s="46"/>
      <c r="J248" s="47"/>
      <c r="K248" s="48"/>
      <c r="L248" s="42" t="b">
        <f t="shared" si="32"/>
        <v>0</v>
      </c>
    </row>
    <row r="249" spans="1:12" ht="18" customHeight="1" x14ac:dyDescent="0.3">
      <c r="A249" s="41">
        <f t="shared" si="31"/>
        <v>45</v>
      </c>
      <c r="B249" s="41" t="s">
        <v>53</v>
      </c>
      <c r="C249" s="193"/>
      <c r="D249" s="62" t="str">
        <f>INDEX(fields[name],MATCH($B249,fields[field],0))</f>
        <v>Βόλεϊ</v>
      </c>
      <c r="E249" s="53" t="str">
        <f t="array" aca="1" ref="E249" ca="1">IF(ISBLANK($A249),"",INDEX(games[th],MATCH(1,(games[r]=$A249)*(games[field]=$B249),0)))</f>
        <v/>
      </c>
      <c r="F249" s="59" t="str">
        <f ca="1">_xlfn.IFNA(INDEX(teams[name],MATCH(E249,teams[id],0)),"")</f>
        <v/>
      </c>
      <c r="G249" s="56" t="str">
        <f t="array" aca="1" ref="G249" ca="1">IF(ISBLANK($A249),"",INDEX(games[ta],MATCH(1,(games[r]=$A249)*(games[field]=$B249),0)))</f>
        <v/>
      </c>
      <c r="H249" s="59" t="str">
        <f ca="1">_xlfn.IFNA(INDEX(teams[name],MATCH(G249,teams[id],0)),"")</f>
        <v/>
      </c>
      <c r="I249" s="46"/>
      <c r="J249" s="47"/>
      <c r="K249" s="48"/>
      <c r="L249" s="42" t="b">
        <f t="shared" si="32"/>
        <v>0</v>
      </c>
    </row>
    <row r="250" spans="1:12" ht="18" customHeight="1" x14ac:dyDescent="0.3">
      <c r="A250" s="41">
        <f t="shared" si="31"/>
        <v>45</v>
      </c>
      <c r="B250" s="41" t="s">
        <v>54</v>
      </c>
      <c r="C250" s="194"/>
      <c r="D250" s="79" t="str">
        <f>INDEX(fields[name],MATCH($B250,fields[field],0))</f>
        <v>Μπέιζμπολ</v>
      </c>
      <c r="E250" s="80" t="str">
        <f t="array" aca="1" ref="E250" ca="1">IF(ISBLANK($A250),"",INDEX(games[th],MATCH(1,(games[r]=$A250)*(games[field]=$B250),0)))</f>
        <v/>
      </c>
      <c r="F250" s="81" t="str">
        <f ca="1">_xlfn.IFNA(INDEX(teams[name],MATCH(E250,teams[id],0)),"")</f>
        <v/>
      </c>
      <c r="G250" s="82" t="str">
        <f t="array" aca="1" ref="G250" ca="1">IF(ISBLANK($A250),"",INDEX(games[ta],MATCH(1,(games[r]=$A250)*(games[field]=$B250),0)))</f>
        <v/>
      </c>
      <c r="H250" s="81" t="str">
        <f ca="1">_xlfn.IFNA(INDEX(teams[name],MATCH(G250,teams[id],0)),"")</f>
        <v/>
      </c>
      <c r="I250" s="83"/>
      <c r="J250" s="84"/>
      <c r="K250" s="85"/>
      <c r="L250" s="42" t="b">
        <f t="shared" si="32"/>
        <v>0</v>
      </c>
    </row>
    <row r="251" spans="1:12" ht="18" customHeight="1" x14ac:dyDescent="0.3">
      <c r="A251" s="41">
        <f t="shared" si="31"/>
        <v>46</v>
      </c>
      <c r="B251" s="41" t="s">
        <v>3</v>
      </c>
      <c r="C251" s="195" t="s">
        <v>49</v>
      </c>
      <c r="D251" s="72" t="str">
        <f>INDEX(fields[name],MATCH($B251,fields[field],0))</f>
        <v>Π Ποδόσφαιρο</v>
      </c>
      <c r="E251" s="73" t="str">
        <f t="array" aca="1" ref="E251" ca="1">IF(ISBLANK($A251),"",INDEX(games[th],MATCH(1,(games[r]=$A251)*(games[field]=$B251),0)))</f>
        <v/>
      </c>
      <c r="F251" s="74" t="str">
        <f ca="1">_xlfn.IFNA(INDEX(teams[name],MATCH(E251,teams[id],0)),"")</f>
        <v/>
      </c>
      <c r="G251" s="75" t="str">
        <f t="array" aca="1" ref="G251" ca="1">IF(ISBLANK($A251),"",INDEX(games[ta],MATCH(1,(games[r]=$A251)*(games[field]=$B251),0)))</f>
        <v/>
      </c>
      <c r="H251" s="74" t="str">
        <f ca="1">_xlfn.IFNA(INDEX(teams[name],MATCH(G251,teams[id],0)),"")</f>
        <v/>
      </c>
      <c r="I251" s="76"/>
      <c r="J251" s="77"/>
      <c r="K251" s="78"/>
      <c r="L251" s="42" t="b">
        <f t="shared" si="32"/>
        <v>0</v>
      </c>
    </row>
    <row r="252" spans="1:12" ht="18" customHeight="1" x14ac:dyDescent="0.3">
      <c r="A252" s="41">
        <f t="shared" si="31"/>
        <v>46</v>
      </c>
      <c r="B252" s="41" t="s">
        <v>4</v>
      </c>
      <c r="C252" s="193"/>
      <c r="D252" s="62" t="str">
        <f>INDEX(fields[name],MATCH($B252,fields[field],0))</f>
        <v>Κ Ποδόσφαιρο</v>
      </c>
      <c r="E252" s="53" t="str">
        <f t="array" aca="1" ref="E252" ca="1">IF(ISBLANK($A252),"",INDEX(games[th],MATCH(1,(games[r]=$A252)*(games[field]=$B252),0)))</f>
        <v/>
      </c>
      <c r="F252" s="59" t="str">
        <f ca="1">_xlfn.IFNA(INDEX(teams[name],MATCH(E252,teams[id],0)),"")</f>
        <v/>
      </c>
      <c r="G252" s="56" t="str">
        <f t="array" aca="1" ref="G252" ca="1">IF(ISBLANK($A252),"",INDEX(games[ta],MATCH(1,(games[r]=$A252)*(games[field]=$B252),0)))</f>
        <v/>
      </c>
      <c r="H252" s="59" t="str">
        <f ca="1">_xlfn.IFNA(INDEX(teams[name],MATCH(G252,teams[id],0)),"")</f>
        <v/>
      </c>
      <c r="I252" s="46"/>
      <c r="J252" s="47"/>
      <c r="K252" s="48"/>
      <c r="L252" s="42" t="b">
        <f t="shared" si="32"/>
        <v>0</v>
      </c>
    </row>
    <row r="253" spans="1:12" ht="18" customHeight="1" x14ac:dyDescent="0.3">
      <c r="A253" s="41">
        <f t="shared" si="31"/>
        <v>46</v>
      </c>
      <c r="B253" s="41" t="s">
        <v>5</v>
      </c>
      <c r="C253" s="193"/>
      <c r="D253" s="62" t="str">
        <f>INDEX(fields[name],MATCH($B253,fields[field],0))</f>
        <v>Μπάσκετ</v>
      </c>
      <c r="E253" s="53" t="str">
        <f t="array" aca="1" ref="E253" ca="1">IF(ISBLANK($A253),"",INDEX(games[th],MATCH(1,(games[r]=$A253)*(games[field]=$B253),0)))</f>
        <v/>
      </c>
      <c r="F253" s="59" t="str">
        <f ca="1">_xlfn.IFNA(INDEX(teams[name],MATCH(E253,teams[id],0)),"")</f>
        <v/>
      </c>
      <c r="G253" s="56" t="str">
        <f t="array" aca="1" ref="G253" ca="1">IF(ISBLANK($A253),"",INDEX(games[ta],MATCH(1,(games[r]=$A253)*(games[field]=$B253),0)))</f>
        <v/>
      </c>
      <c r="H253" s="59" t="str">
        <f ca="1">_xlfn.IFNA(INDEX(teams[name],MATCH(G253,teams[id],0)),"")</f>
        <v/>
      </c>
      <c r="I253" s="46"/>
      <c r="J253" s="47"/>
      <c r="K253" s="48"/>
      <c r="L253" s="42" t="b">
        <f t="shared" si="32"/>
        <v>0</v>
      </c>
    </row>
    <row r="254" spans="1:12" ht="18" customHeight="1" x14ac:dyDescent="0.3">
      <c r="A254" s="41">
        <f t="shared" si="31"/>
        <v>46</v>
      </c>
      <c r="B254" s="41" t="s">
        <v>53</v>
      </c>
      <c r="C254" s="196"/>
      <c r="D254" s="65" t="str">
        <f>INDEX(fields[name],MATCH($B254,fields[field],0))</f>
        <v>Βόλεϊ</v>
      </c>
      <c r="E254" s="66" t="str">
        <f t="array" aca="1" ref="E254" ca="1">IF(ISBLANK($A254),"",INDEX(games[th],MATCH(1,(games[r]=$A254)*(games[field]=$B254),0)))</f>
        <v/>
      </c>
      <c r="F254" s="67" t="str">
        <f ca="1">_xlfn.IFNA(INDEX(teams[name],MATCH(E254,teams[id],0)),"")</f>
        <v/>
      </c>
      <c r="G254" s="68" t="str">
        <f t="array" aca="1" ref="G254" ca="1">IF(ISBLANK($A254),"",INDEX(games[ta],MATCH(1,(games[r]=$A254)*(games[field]=$B254),0)))</f>
        <v/>
      </c>
      <c r="H254" s="67" t="str">
        <f ca="1">_xlfn.IFNA(INDEX(teams[name],MATCH(G254,teams[id],0)),"")</f>
        <v/>
      </c>
      <c r="I254" s="69"/>
      <c r="J254" s="70"/>
      <c r="K254" s="71"/>
      <c r="L254" s="42" t="b">
        <f t="shared" si="32"/>
        <v>0</v>
      </c>
    </row>
    <row r="255" spans="1:12" ht="18" customHeight="1" thickBot="1" x14ac:dyDescent="0.35">
      <c r="A255" s="41">
        <f t="shared" si="31"/>
        <v>46</v>
      </c>
      <c r="B255" s="41" t="s">
        <v>54</v>
      </c>
      <c r="C255" s="197"/>
      <c r="D255" s="63" t="str">
        <f>INDEX(fields[name],MATCH($B255,fields[field],0))</f>
        <v>Μπέιζμπολ</v>
      </c>
      <c r="E255" s="54" t="str">
        <f t="array" aca="1" ref="E255" ca="1">IF(ISBLANK($A255),"",INDEX(games[th],MATCH(1,(games[r]=$A255)*(games[field]=$B255),0)))</f>
        <v/>
      </c>
      <c r="F255" s="60" t="str">
        <f ca="1">_xlfn.IFNA(INDEX(teams[name],MATCH(E255,teams[id],0)),"")</f>
        <v/>
      </c>
      <c r="G255" s="57" t="str">
        <f t="array" aca="1" ref="G255" ca="1">IF(ISBLANK($A255),"",INDEX(games[ta],MATCH(1,(games[r]=$A255)*(games[field]=$B255),0)))</f>
        <v/>
      </c>
      <c r="H255" s="60" t="str">
        <f ca="1">_xlfn.IFNA(INDEX(teams[name],MATCH(G255,teams[id],0)),"")</f>
        <v/>
      </c>
      <c r="I255" s="49"/>
      <c r="J255" s="50"/>
      <c r="K255" s="51"/>
      <c r="L255" s="42" t="b">
        <f t="shared" si="32"/>
        <v>0</v>
      </c>
    </row>
    <row r="256" spans="1:12" ht="18" customHeight="1" thickTop="1" x14ac:dyDescent="0.3">
      <c r="A256" s="41">
        <f t="shared" si="31"/>
        <v>47</v>
      </c>
      <c r="B256" s="41" t="s">
        <v>3</v>
      </c>
      <c r="C256" s="192" t="s">
        <v>50</v>
      </c>
      <c r="D256" s="61" t="str">
        <f>INDEX(fields[name],MATCH($B256,fields[field],0))</f>
        <v>Π Ποδόσφαιρο</v>
      </c>
      <c r="E256" s="52" t="str">
        <f t="array" aca="1" ref="E256" ca="1">IF(ISBLANK($A256),"",INDEX(games[th],MATCH(1,(games[r]=$A256)*(games[field]=$B256),0)))</f>
        <v/>
      </c>
      <c r="F256" s="58" t="str">
        <f ca="1">_xlfn.IFNA(INDEX(teams[name],MATCH(E256,teams[id],0)),"")</f>
        <v/>
      </c>
      <c r="G256" s="55" t="str">
        <f t="array" aca="1" ref="G256" ca="1">IF(ISBLANK($A256),"",INDEX(games[ta],MATCH(1,(games[r]=$A256)*(games[field]=$B256),0)))</f>
        <v/>
      </c>
      <c r="H256" s="58" t="str">
        <f ca="1">_xlfn.IFNA(INDEX(teams[name],MATCH(G256,teams[id],0)),"")</f>
        <v/>
      </c>
      <c r="I256" s="43"/>
      <c r="J256" s="44"/>
      <c r="K256" s="45"/>
      <c r="L256" s="42" t="b">
        <f>NOT(OR(ISBLANK($I256),ISBLANK($J256)))</f>
        <v>0</v>
      </c>
    </row>
    <row r="257" spans="1:12" ht="18" customHeight="1" x14ac:dyDescent="0.3">
      <c r="A257" s="41">
        <f t="shared" si="31"/>
        <v>47</v>
      </c>
      <c r="B257" s="41" t="s">
        <v>4</v>
      </c>
      <c r="C257" s="193"/>
      <c r="D257" s="62" t="str">
        <f>INDEX(fields[name],MATCH($B257,fields[field],0))</f>
        <v>Κ Ποδόσφαιρο</v>
      </c>
      <c r="E257" s="53" t="str">
        <f t="array" aca="1" ref="E257" ca="1">IF(ISBLANK($A257),"",INDEX(games[th],MATCH(1,(games[r]=$A257)*(games[field]=$B257),0)))</f>
        <v/>
      </c>
      <c r="F257" s="59" t="str">
        <f ca="1">_xlfn.IFNA(INDEX(teams[name],MATCH(E257,teams[id],0)),"")</f>
        <v/>
      </c>
      <c r="G257" s="56" t="str">
        <f t="array" aca="1" ref="G257" ca="1">IF(ISBLANK($A257),"",INDEX(games[ta],MATCH(1,(games[r]=$A257)*(games[field]=$B257),0)))</f>
        <v/>
      </c>
      <c r="H257" s="59" t="str">
        <f ca="1">_xlfn.IFNA(INDEX(teams[name],MATCH(G257,teams[id],0)),"")</f>
        <v/>
      </c>
      <c r="I257" s="46"/>
      <c r="J257" s="47"/>
      <c r="K257" s="48"/>
      <c r="L257" s="42" t="b">
        <f t="shared" ref="L257:L265" si="33">NOT(OR(ISBLANK($I257),ISBLANK($J257)))</f>
        <v>0</v>
      </c>
    </row>
    <row r="258" spans="1:12" ht="18" customHeight="1" x14ac:dyDescent="0.3">
      <c r="A258" s="41">
        <f t="shared" si="31"/>
        <v>47</v>
      </c>
      <c r="B258" s="41" t="s">
        <v>5</v>
      </c>
      <c r="C258" s="193"/>
      <c r="D258" s="62" t="str">
        <f>INDEX(fields[name],MATCH($B258,fields[field],0))</f>
        <v>Μπάσκετ</v>
      </c>
      <c r="E258" s="53" t="str">
        <f t="array" aca="1" ref="E258" ca="1">IF(ISBLANK($A258),"",INDEX(games[th],MATCH(1,(games[r]=$A258)*(games[field]=$B258),0)))</f>
        <v/>
      </c>
      <c r="F258" s="59" t="str">
        <f ca="1">_xlfn.IFNA(INDEX(teams[name],MATCH(E258,teams[id],0)),"")</f>
        <v/>
      </c>
      <c r="G258" s="56" t="str">
        <f t="array" aca="1" ref="G258" ca="1">IF(ISBLANK($A258),"",INDEX(games[ta],MATCH(1,(games[r]=$A258)*(games[field]=$B258),0)))</f>
        <v/>
      </c>
      <c r="H258" s="59" t="str">
        <f ca="1">_xlfn.IFNA(INDEX(teams[name],MATCH(G258,teams[id],0)),"")</f>
        <v/>
      </c>
      <c r="I258" s="46"/>
      <c r="J258" s="47"/>
      <c r="K258" s="48"/>
      <c r="L258" s="42" t="b">
        <f t="shared" si="33"/>
        <v>0</v>
      </c>
    </row>
    <row r="259" spans="1:12" ht="18" customHeight="1" x14ac:dyDescent="0.3">
      <c r="A259" s="41">
        <f t="shared" si="31"/>
        <v>47</v>
      </c>
      <c r="B259" s="41" t="s">
        <v>53</v>
      </c>
      <c r="C259" s="193"/>
      <c r="D259" s="62" t="str">
        <f>INDEX(fields[name],MATCH($B259,fields[field],0))</f>
        <v>Βόλεϊ</v>
      </c>
      <c r="E259" s="53" t="str">
        <f t="array" aca="1" ref="E259" ca="1">IF(ISBLANK($A259),"",INDEX(games[th],MATCH(1,(games[r]=$A259)*(games[field]=$B259),0)))</f>
        <v/>
      </c>
      <c r="F259" s="59" t="str">
        <f ca="1">_xlfn.IFNA(INDEX(teams[name],MATCH(E259,teams[id],0)),"")</f>
        <v/>
      </c>
      <c r="G259" s="56" t="str">
        <f t="array" aca="1" ref="G259" ca="1">IF(ISBLANK($A259),"",INDEX(games[ta],MATCH(1,(games[r]=$A259)*(games[field]=$B259),0)))</f>
        <v/>
      </c>
      <c r="H259" s="59" t="str">
        <f ca="1">_xlfn.IFNA(INDEX(teams[name],MATCH(G259,teams[id],0)),"")</f>
        <v/>
      </c>
      <c r="I259" s="46"/>
      <c r="J259" s="47"/>
      <c r="K259" s="48"/>
      <c r="L259" s="42" t="b">
        <f t="shared" si="33"/>
        <v>0</v>
      </c>
    </row>
    <row r="260" spans="1:12" ht="18" customHeight="1" x14ac:dyDescent="0.3">
      <c r="A260" s="41">
        <f t="shared" si="31"/>
        <v>47</v>
      </c>
      <c r="B260" s="41" t="s">
        <v>54</v>
      </c>
      <c r="C260" s="194"/>
      <c r="D260" s="79" t="str">
        <f>INDEX(fields[name],MATCH($B260,fields[field],0))</f>
        <v>Μπέιζμπολ</v>
      </c>
      <c r="E260" s="80" t="str">
        <f t="array" aca="1" ref="E260" ca="1">IF(ISBLANK($A260),"",INDEX(games[th],MATCH(1,(games[r]=$A260)*(games[field]=$B260),0)))</f>
        <v/>
      </c>
      <c r="F260" s="81" t="str">
        <f ca="1">_xlfn.IFNA(INDEX(teams[name],MATCH(E260,teams[id],0)),"")</f>
        <v/>
      </c>
      <c r="G260" s="82" t="str">
        <f t="array" aca="1" ref="G260" ca="1">IF(ISBLANK($A260),"",INDEX(games[ta],MATCH(1,(games[r]=$A260)*(games[field]=$B260),0)))</f>
        <v/>
      </c>
      <c r="H260" s="81" t="str">
        <f ca="1">_xlfn.IFNA(INDEX(teams[name],MATCH(G260,teams[id],0)),"")</f>
        <v/>
      </c>
      <c r="I260" s="83"/>
      <c r="J260" s="84"/>
      <c r="K260" s="85"/>
      <c r="L260" s="42" t="b">
        <f t="shared" si="33"/>
        <v>0</v>
      </c>
    </row>
    <row r="261" spans="1:12" ht="18" customHeight="1" x14ac:dyDescent="0.3">
      <c r="A261" s="41">
        <f t="shared" si="31"/>
        <v>48</v>
      </c>
      <c r="B261" s="41" t="s">
        <v>3</v>
      </c>
      <c r="C261" s="195" t="s">
        <v>51</v>
      </c>
      <c r="D261" s="72" t="str">
        <f>INDEX(fields[name],MATCH($B261,fields[field],0))</f>
        <v>Π Ποδόσφαιρο</v>
      </c>
      <c r="E261" s="73" t="str">
        <f t="array" aca="1" ref="E261" ca="1">IF(ISBLANK($A261),"",INDEX(games[th],MATCH(1,(games[r]=$A261)*(games[field]=$B261),0)))</f>
        <v/>
      </c>
      <c r="F261" s="74" t="str">
        <f ca="1">_xlfn.IFNA(INDEX(teams[name],MATCH(E261,teams[id],0)),"")</f>
        <v/>
      </c>
      <c r="G261" s="75" t="str">
        <f t="array" aca="1" ref="G261" ca="1">IF(ISBLANK($A261),"",INDEX(games[ta],MATCH(1,(games[r]=$A261)*(games[field]=$B261),0)))</f>
        <v/>
      </c>
      <c r="H261" s="74" t="str">
        <f ca="1">_xlfn.IFNA(INDEX(teams[name],MATCH(G261,teams[id],0)),"")</f>
        <v/>
      </c>
      <c r="I261" s="76"/>
      <c r="J261" s="77"/>
      <c r="K261" s="78"/>
      <c r="L261" s="42" t="b">
        <f t="shared" si="33"/>
        <v>0</v>
      </c>
    </row>
    <row r="262" spans="1:12" ht="18" customHeight="1" x14ac:dyDescent="0.3">
      <c r="A262" s="41">
        <f t="shared" si="31"/>
        <v>48</v>
      </c>
      <c r="B262" s="41" t="s">
        <v>4</v>
      </c>
      <c r="C262" s="193"/>
      <c r="D262" s="62" t="str">
        <f>INDEX(fields[name],MATCH($B262,fields[field],0))</f>
        <v>Κ Ποδόσφαιρο</v>
      </c>
      <c r="E262" s="53" t="str">
        <f t="array" aca="1" ref="E262" ca="1">IF(ISBLANK($A262),"",INDEX(games[th],MATCH(1,(games[r]=$A262)*(games[field]=$B262),0)))</f>
        <v/>
      </c>
      <c r="F262" s="59" t="str">
        <f ca="1">_xlfn.IFNA(INDEX(teams[name],MATCH(E262,teams[id],0)),"")</f>
        <v/>
      </c>
      <c r="G262" s="56" t="str">
        <f t="array" aca="1" ref="G262" ca="1">IF(ISBLANK($A262),"",INDEX(games[ta],MATCH(1,(games[r]=$A262)*(games[field]=$B262),0)))</f>
        <v/>
      </c>
      <c r="H262" s="59" t="str">
        <f ca="1">_xlfn.IFNA(INDEX(teams[name],MATCH(G262,teams[id],0)),"")</f>
        <v/>
      </c>
      <c r="I262" s="46"/>
      <c r="J262" s="47"/>
      <c r="K262" s="48"/>
      <c r="L262" s="42" t="b">
        <f t="shared" si="33"/>
        <v>0</v>
      </c>
    </row>
    <row r="263" spans="1:12" ht="18" customHeight="1" x14ac:dyDescent="0.3">
      <c r="A263" s="41">
        <f t="shared" si="31"/>
        <v>48</v>
      </c>
      <c r="B263" s="41" t="s">
        <v>5</v>
      </c>
      <c r="C263" s="193"/>
      <c r="D263" s="62" t="str">
        <f>INDEX(fields[name],MATCH($B263,fields[field],0))</f>
        <v>Μπάσκετ</v>
      </c>
      <c r="E263" s="53" t="str">
        <f t="array" aca="1" ref="E263" ca="1">IF(ISBLANK($A263),"",INDEX(games[th],MATCH(1,(games[r]=$A263)*(games[field]=$B263),0)))</f>
        <v/>
      </c>
      <c r="F263" s="59" t="str">
        <f ca="1">_xlfn.IFNA(INDEX(teams[name],MATCH(E263,teams[id],0)),"")</f>
        <v/>
      </c>
      <c r="G263" s="56" t="str">
        <f t="array" aca="1" ref="G263" ca="1">IF(ISBLANK($A263),"",INDEX(games[ta],MATCH(1,(games[r]=$A263)*(games[field]=$B263),0)))</f>
        <v/>
      </c>
      <c r="H263" s="59" t="str">
        <f ca="1">_xlfn.IFNA(INDEX(teams[name],MATCH(G263,teams[id],0)),"")</f>
        <v/>
      </c>
      <c r="I263" s="46"/>
      <c r="J263" s="47"/>
      <c r="K263" s="48"/>
      <c r="L263" s="42" t="b">
        <f t="shared" si="33"/>
        <v>0</v>
      </c>
    </row>
    <row r="264" spans="1:12" ht="18" customHeight="1" x14ac:dyDescent="0.3">
      <c r="A264" s="41">
        <f t="shared" si="31"/>
        <v>48</v>
      </c>
      <c r="B264" s="41" t="s">
        <v>53</v>
      </c>
      <c r="C264" s="196"/>
      <c r="D264" s="65" t="str">
        <f>INDEX(fields[name],MATCH($B264,fields[field],0))</f>
        <v>Βόλεϊ</v>
      </c>
      <c r="E264" s="66" t="str">
        <f t="array" aca="1" ref="E264" ca="1">IF(ISBLANK($A264),"",INDEX(games[th],MATCH(1,(games[r]=$A264)*(games[field]=$B264),0)))</f>
        <v/>
      </c>
      <c r="F264" s="67" t="str">
        <f ca="1">_xlfn.IFNA(INDEX(teams[name],MATCH(E264,teams[id],0)),"")</f>
        <v/>
      </c>
      <c r="G264" s="68" t="str">
        <f t="array" aca="1" ref="G264" ca="1">IF(ISBLANK($A264),"",INDEX(games[ta],MATCH(1,(games[r]=$A264)*(games[field]=$B264),0)))</f>
        <v/>
      </c>
      <c r="H264" s="67" t="str">
        <f ca="1">_xlfn.IFNA(INDEX(teams[name],MATCH(G264,teams[id],0)),"")</f>
        <v/>
      </c>
      <c r="I264" s="69"/>
      <c r="J264" s="70"/>
      <c r="K264" s="71"/>
      <c r="L264" s="42" t="b">
        <f t="shared" si="33"/>
        <v>0</v>
      </c>
    </row>
    <row r="265" spans="1:12" ht="18" customHeight="1" thickBot="1" x14ac:dyDescent="0.35">
      <c r="A265" s="41">
        <f t="shared" si="31"/>
        <v>48</v>
      </c>
      <c r="B265" s="41" t="s">
        <v>54</v>
      </c>
      <c r="C265" s="198"/>
      <c r="D265" s="64" t="str">
        <f>INDEX(fields[name],MATCH($B265,fields[field],0))</f>
        <v>Μπέιζμπολ</v>
      </c>
      <c r="E265" s="54" t="str">
        <f t="array" aca="1" ref="E265" ca="1">IF(ISBLANK($A265),"",INDEX(games[th],MATCH(1,(games[r]=$A265)*(games[field]=$B265),0)))</f>
        <v/>
      </c>
      <c r="F265" s="60" t="str">
        <f ca="1">_xlfn.IFNA(INDEX(teams[name],MATCH(E265,teams[id],0)),"")</f>
        <v/>
      </c>
      <c r="G265" s="57" t="str">
        <f t="array" aca="1" ref="G265" ca="1">IF(ISBLANK($A265),"",INDEX(games[ta],MATCH(1,(games[r]=$A265)*(games[field]=$B265),0)))</f>
        <v/>
      </c>
      <c r="H265" s="60" t="str">
        <f ca="1">_xlfn.IFNA(INDEX(teams[name],MATCH(G265,teams[id],0)),"")</f>
        <v/>
      </c>
      <c r="I265" s="88"/>
      <c r="J265" s="89"/>
      <c r="K265" s="90"/>
      <c r="L265" s="42" t="b">
        <f t="shared" si="33"/>
        <v>0</v>
      </c>
    </row>
  </sheetData>
  <mergeCells count="60">
    <mergeCell ref="C207:C211"/>
    <mergeCell ref="C212:C216"/>
    <mergeCell ref="C217:C221"/>
    <mergeCell ref="C185:C189"/>
    <mergeCell ref="C190:C194"/>
    <mergeCell ref="C195:C199"/>
    <mergeCell ref="C201:K201"/>
    <mergeCell ref="C202:C206"/>
    <mergeCell ref="C129:C133"/>
    <mergeCell ref="C135:K135"/>
    <mergeCell ref="C136:C140"/>
    <mergeCell ref="C141:C145"/>
    <mergeCell ref="C146:C150"/>
    <mergeCell ref="C163:C167"/>
    <mergeCell ref="C168:C172"/>
    <mergeCell ref="C173:C177"/>
    <mergeCell ref="C179:K179"/>
    <mergeCell ref="C180:C184"/>
    <mergeCell ref="C151:C155"/>
    <mergeCell ref="C157:K157"/>
    <mergeCell ref="C158:C162"/>
    <mergeCell ref="C26:C30"/>
    <mergeCell ref="C31:C35"/>
    <mergeCell ref="C36:C40"/>
    <mergeCell ref="C41:C45"/>
    <mergeCell ref="C47:K47"/>
    <mergeCell ref="C48:C52"/>
    <mergeCell ref="C70:C74"/>
    <mergeCell ref="C75:C79"/>
    <mergeCell ref="C80:C84"/>
    <mergeCell ref="C85:C89"/>
    <mergeCell ref="C91:K91"/>
    <mergeCell ref="C92:C96"/>
    <mergeCell ref="C97:C101"/>
    <mergeCell ref="C124:C128"/>
    <mergeCell ref="C3:K3"/>
    <mergeCell ref="C4:C8"/>
    <mergeCell ref="C9:C13"/>
    <mergeCell ref="C14:C18"/>
    <mergeCell ref="C19:C23"/>
    <mergeCell ref="C102:C106"/>
    <mergeCell ref="C113:K113"/>
    <mergeCell ref="C107:C111"/>
    <mergeCell ref="C114:C118"/>
    <mergeCell ref="C119:C123"/>
    <mergeCell ref="C25:K25"/>
    <mergeCell ref="C53:C57"/>
    <mergeCell ref="C58:C62"/>
    <mergeCell ref="C63:C67"/>
    <mergeCell ref="C69:K69"/>
    <mergeCell ref="C223:K223"/>
    <mergeCell ref="C224:C228"/>
    <mergeCell ref="C229:C233"/>
    <mergeCell ref="C234:C238"/>
    <mergeCell ref="C239:C243"/>
    <mergeCell ref="C245:K245"/>
    <mergeCell ref="C246:C250"/>
    <mergeCell ref="C251:C255"/>
    <mergeCell ref="C256:C260"/>
    <mergeCell ref="C261:C265"/>
  </mergeCells>
  <printOptions horizontalCentered="1" verticalCentered="1"/>
  <pageMargins left="0.25" right="0.25" top="0.75" bottom="0.75" header="0.3" footer="0.3"/>
  <pageSetup paperSize="9" scale="99" fitToHeight="0" orientation="portrait" r:id="rId1"/>
  <rowBreaks count="6" manualBreakCount="6">
    <brk id="45" min="2" max="10" man="1"/>
    <brk id="89" min="2" max="10" man="1"/>
    <brk id="133" min="2" max="10" man="1"/>
    <brk id="177" min="2" max="10" man="1"/>
    <brk id="221" min="2" max="10" man="1"/>
    <brk id="265" min="2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AK33"/>
  <sheetViews>
    <sheetView tabSelected="1" zoomScale="115" zoomScaleNormal="115" workbookViewId="0">
      <selection activeCell="AF18" sqref="AF18"/>
    </sheetView>
  </sheetViews>
  <sheetFormatPr defaultColWidth="5" defaultRowHeight="16.2" x14ac:dyDescent="0.3"/>
  <cols>
    <col min="1" max="1" width="5" style="2"/>
    <col min="2" max="2" width="3.21875" style="2" bestFit="1" customWidth="1"/>
    <col min="3" max="3" width="16.77734375" style="2" customWidth="1"/>
    <col min="4" max="34" width="5" style="2"/>
    <col min="35" max="35" width="5" style="154"/>
    <col min="36" max="36" width="3.21875" style="2" customWidth="1"/>
    <col min="37" max="37" width="16.77734375" style="2" customWidth="1"/>
    <col min="38" max="16384" width="5" style="2"/>
  </cols>
  <sheetData>
    <row r="1" spans="2:37" ht="16.8" thickBot="1" x14ac:dyDescent="0.35">
      <c r="L1" s="2" t="s">
        <v>88</v>
      </c>
    </row>
    <row r="2" spans="2:37" ht="16.8" thickBot="1" x14ac:dyDescent="0.35">
      <c r="B2" s="217" t="s">
        <v>13</v>
      </c>
      <c r="C2" s="218"/>
      <c r="D2" s="219" t="s">
        <v>24</v>
      </c>
      <c r="E2" s="220"/>
      <c r="F2" s="220"/>
      <c r="G2" s="220"/>
      <c r="H2" s="220"/>
      <c r="I2" s="220"/>
      <c r="J2" s="220"/>
      <c r="K2" s="220"/>
      <c r="L2" s="221"/>
      <c r="M2" s="222" t="s">
        <v>25</v>
      </c>
      <c r="N2" s="223"/>
      <c r="O2" s="223"/>
      <c r="P2" s="223"/>
      <c r="Q2" s="223"/>
      <c r="R2" s="223"/>
      <c r="S2" s="223"/>
      <c r="T2" s="224"/>
      <c r="U2" s="216" t="s">
        <v>59</v>
      </c>
      <c r="V2" s="216"/>
      <c r="W2" s="216"/>
      <c r="X2" s="216"/>
      <c r="Y2" s="216"/>
      <c r="Z2" s="216"/>
      <c r="AA2" s="216"/>
      <c r="AB2" s="216"/>
      <c r="AC2" s="211" t="s">
        <v>69</v>
      </c>
      <c r="AD2" s="212"/>
      <c r="AE2" s="212"/>
      <c r="AF2" s="212"/>
      <c r="AG2" s="212"/>
      <c r="AH2" s="212"/>
      <c r="AI2" s="213"/>
      <c r="AJ2" s="199" t="s">
        <v>13</v>
      </c>
      <c r="AK2" s="200"/>
    </row>
    <row r="3" spans="2:37" ht="16.8" thickTop="1" x14ac:dyDescent="0.3">
      <c r="B3" s="214" t="s">
        <v>14</v>
      </c>
      <c r="C3" s="215"/>
      <c r="D3" s="6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7" t="s">
        <v>20</v>
      </c>
      <c r="J3" s="7" t="s">
        <v>21</v>
      </c>
      <c r="K3" s="8" t="s">
        <v>22</v>
      </c>
      <c r="L3" s="9" t="s">
        <v>23</v>
      </c>
      <c r="M3" s="10" t="s">
        <v>15</v>
      </c>
      <c r="N3" s="11" t="s">
        <v>16</v>
      </c>
      <c r="O3" s="11" t="s">
        <v>18</v>
      </c>
      <c r="P3" s="11" t="s">
        <v>19</v>
      </c>
      <c r="Q3" s="11" t="s">
        <v>20</v>
      </c>
      <c r="R3" s="11" t="s">
        <v>21</v>
      </c>
      <c r="S3" s="12" t="s">
        <v>22</v>
      </c>
      <c r="T3" s="13" t="s">
        <v>23</v>
      </c>
      <c r="U3" s="3" t="s">
        <v>15</v>
      </c>
      <c r="V3" s="4" t="s">
        <v>16</v>
      </c>
      <c r="W3" s="4" t="s">
        <v>18</v>
      </c>
      <c r="X3" s="4" t="s">
        <v>19</v>
      </c>
      <c r="Y3" s="4" t="s">
        <v>20</v>
      </c>
      <c r="Z3" s="4" t="s">
        <v>21</v>
      </c>
      <c r="AA3" s="5" t="s">
        <v>22</v>
      </c>
      <c r="AB3" s="4" t="s">
        <v>23</v>
      </c>
      <c r="AC3" s="145" t="s">
        <v>15</v>
      </c>
      <c r="AD3" s="146" t="s">
        <v>16</v>
      </c>
      <c r="AE3" s="146" t="s">
        <v>18</v>
      </c>
      <c r="AF3" s="146" t="s">
        <v>19</v>
      </c>
      <c r="AG3" s="146" t="s">
        <v>20</v>
      </c>
      <c r="AH3" s="146" t="s">
        <v>21</v>
      </c>
      <c r="AI3" s="165" t="s">
        <v>22</v>
      </c>
      <c r="AJ3" s="201" t="s">
        <v>14</v>
      </c>
      <c r="AK3" s="202"/>
    </row>
    <row r="4" spans="2:37" x14ac:dyDescent="0.3">
      <c r="B4" s="36">
        <v>1</v>
      </c>
      <c r="C4" s="22">
        <f>INDEX(teams[name],MATCH(B4,teams[id],0))</f>
        <v>0</v>
      </c>
      <c r="D4" s="14">
        <f ca="1">E4+F4+G4</f>
        <v>0</v>
      </c>
      <c r="E4" s="15">
        <f t="array" aca="1" ref="E4" ca="1">SUM((games[sport]="p")*(games[played])*((games[th]=$B4)*(games[sh]&gt;games[sa])+(games[ta]=$B4)*(games[sa]&gt;games[sh])))</f>
        <v>0</v>
      </c>
      <c r="F4" s="15">
        <f t="array" aca="1" ref="F4" ca="1">SUM((games[sport]="p")*(games[played])*((games[th]=$B4)*(games[sh]=games[sa])+(games[ta]=$B4)*(games[sa]=games[sh])))</f>
        <v>0</v>
      </c>
      <c r="G4" s="15">
        <f t="array" aca="1" ref="G4" ca="1">SUM((games[sport]="p")*(games[played])*((games[th]=$B4)*(games[sh]&lt;games[sa])+(games[ta]=$B4)*(games[sa]&lt;games[sh])))</f>
        <v>0</v>
      </c>
      <c r="H4" s="15">
        <f ca="1">SUMIFS(games[sh],games[sport],"p",games[th],$B4)+SUMIFS(games[sa],games[sport],"p",games[ta],$B4)</f>
        <v>0</v>
      </c>
      <c r="I4" s="15">
        <f ca="1">SUMIFS(games[sa],games[sport],"p",games[th],$B4)+SUMIFS(games[sh],games[sport],"p",games[ta],$B4)</f>
        <v>0</v>
      </c>
      <c r="J4" s="15">
        <f ca="1">H4-I4</f>
        <v>0</v>
      </c>
      <c r="K4" s="16">
        <f ca="1">3*E4+1*F4+0*G4</f>
        <v>0</v>
      </c>
      <c r="L4" s="17">
        <f ca="1">_xlfn.RANK.EQ(K4,$K$4:$K$8)</f>
        <v>1</v>
      </c>
      <c r="M4" s="25">
        <f ca="1">N4+O4</f>
        <v>0</v>
      </c>
      <c r="N4" s="26">
        <f t="array" aca="1" ref="N4" ca="1">SUM((games[sport]="k")*(games[played])*((games[th]=$B4)*(games[sh]&gt;games[sa])+(games[ta]=$B4)*(games[sa]&gt;games[sh])))</f>
        <v>0</v>
      </c>
      <c r="O4" s="26">
        <f t="array" aca="1" ref="O4" ca="1">SUM((games[sport]="k")*(games[played])*((games[th]=$B4)*(games[sh]&lt;games[sa])+(games[ta]=$B4)*(games[sa]&lt;games[sh])))</f>
        <v>0</v>
      </c>
      <c r="P4" s="26">
        <f ca="1">SUMIFS(games[sh],games[sport],"k",games[th],$B4)+SUMIFS(games[sa],games[sport],"k",games[ta],$B4)</f>
        <v>0</v>
      </c>
      <c r="Q4" s="26">
        <f ca="1">SUMIFS(games[sa],games[sport],"k",games[th],$B4)+SUMIFS(games[sh],games[sport],"k",games[ta],$B4)</f>
        <v>0</v>
      </c>
      <c r="R4" s="26">
        <f ca="1">P4-Q4</f>
        <v>0</v>
      </c>
      <c r="S4" s="27">
        <f ca="1">2*N4+1*O4</f>
        <v>0</v>
      </c>
      <c r="T4" s="28">
        <f ca="1">_xlfn.RANK.EQ(S4,$S$4:$S$8)</f>
        <v>1</v>
      </c>
      <c r="U4" s="31">
        <f ca="1">V4+W4</f>
        <v>0</v>
      </c>
      <c r="V4" s="32">
        <f t="array" aca="1" ref="V4" ca="1">SUM((games[sport]="v")*(games[played])*((games[th]=$B4)*(games[sh]&gt;games[sa])+(games[ta]=$B4)*(games[sa]&gt;games[sh])))</f>
        <v>0</v>
      </c>
      <c r="W4" s="32">
        <f t="array" aca="1" ref="W4" ca="1">SUM((games[sport]="v")*(games[played])*((games[th]=$B4)*(games[sh]&lt;games[sa])+(games[ta]=$B4)*(games[sa]&lt;games[sh])))</f>
        <v>0</v>
      </c>
      <c r="X4" s="32">
        <f ca="1">SUMIFS(games[sh],games[sport],"v",games[th],$B4)+SUMIFS(games[sa],games[sport],"v",games[ta],$B4)</f>
        <v>0</v>
      </c>
      <c r="Y4" s="32">
        <f ca="1">SUMIFS(games[sa],games[sport],"v",games[th],$B4)+SUMIFS(games[sh],games[sport],"v",games[ta],$B4)</f>
        <v>0</v>
      </c>
      <c r="Z4" s="32">
        <f ca="1">X4-Y4</f>
        <v>0</v>
      </c>
      <c r="AA4" s="33">
        <f ca="1">U4+W4+Z4</f>
        <v>0</v>
      </c>
      <c r="AB4" s="32">
        <f ca="1">_xlfn.RANK.EQ(AA4,$AA$4:$AA$8)</f>
        <v>1</v>
      </c>
      <c r="AC4" s="166">
        <f ca="1">AD4+AE4</f>
        <v>0</v>
      </c>
      <c r="AD4" s="147">
        <f t="array" aca="1" ref="AD4" ca="1">SUM((games[sport]="m")*(games[played])*((games[th]=$B4)*(games[sh]&gt;games[sa])+(games[ta]=$B4)*(games[sa]&gt;games[sh])))</f>
        <v>0</v>
      </c>
      <c r="AE4" s="147">
        <f t="array" aca="1" ref="AE4" ca="1">SUM((games[sport]="m")*(games[played])*((games[th]=$B4)*(games[sh]&lt;games[sa])+(games[ta]=$B4)*(games[sa]&lt;games[sh])))</f>
        <v>0</v>
      </c>
      <c r="AF4" s="147">
        <f ca="1">SUMIFS(games[sh],games[sport],"m",games[th],$B4)+SUMIFS(games[sa],games[sport],"m",games[ta],$B4)</f>
        <v>0</v>
      </c>
      <c r="AG4" s="147">
        <f ca="1">SUMIFS(games[sa],games[sport],"m",games[th],$B4)+SUMIFS(games[sh],games[sport],"m",games[ta],$B4)</f>
        <v>0</v>
      </c>
      <c r="AH4" s="147">
        <f ca="1">AF4-AG4</f>
        <v>0</v>
      </c>
      <c r="AI4" s="167">
        <f ca="1">2*AD4+1*AE4</f>
        <v>0</v>
      </c>
      <c r="AJ4" s="160">
        <v>1</v>
      </c>
      <c r="AK4" s="155">
        <f>AJ18</f>
        <v>0</v>
      </c>
    </row>
    <row r="5" spans="2:37" x14ac:dyDescent="0.3">
      <c r="B5" s="37">
        <v>2</v>
      </c>
      <c r="C5" s="128">
        <f>INDEX(teams[name],MATCH(B5,teams[id],0))</f>
        <v>0</v>
      </c>
      <c r="D5" s="20">
        <f t="shared" ref="D5:D14" ca="1" si="0">E5+F5+G5</f>
        <v>0</v>
      </c>
      <c r="E5" s="129">
        <f t="array" aca="1" ref="E5" ca="1">SUM((games[sport]="p")*(games[played])*((games[th]=$B5)*(games[sh]&gt;games[sa])+(games[ta]=$B5)*(games[sa]&gt;games[sh])))</f>
        <v>0</v>
      </c>
      <c r="F5" s="129">
        <f t="array" aca="1" ref="F5" ca="1">SUM((games[sport]="p")*(games[played])*((games[th]=$B5)*(games[sh]=games[sa])+(games[ta]=$B5)*(games[sa]=games[sh])))</f>
        <v>0</v>
      </c>
      <c r="G5" s="129">
        <f t="array" aca="1" ref="G5" ca="1">SUM((games[sport]="p")*(games[played])*((games[th]=$B5)*(games[sh]&lt;games[sa])+(games[ta]=$B5)*(games[sa]&lt;games[sh])))</f>
        <v>0</v>
      </c>
      <c r="H5" s="129">
        <f ca="1">SUMIFS(games[sh],games[sport],"p",games[th],$B5)+SUMIFS(games[sa],games[sport],"p",games[ta],$B5)</f>
        <v>0</v>
      </c>
      <c r="I5" s="129">
        <f ca="1">SUMIFS(games[sa],games[sport],"p",games[th],$B5)+SUMIFS(games[sh],games[sport],"p",games[ta],$B5)</f>
        <v>0</v>
      </c>
      <c r="J5" s="129">
        <f t="shared" ref="J5:J14" ca="1" si="1">H5-I5</f>
        <v>0</v>
      </c>
      <c r="K5" s="130">
        <f t="shared" ref="K5:K14" ca="1" si="2">3*E5+1*F5+0*G5</f>
        <v>0</v>
      </c>
      <c r="L5" s="21">
        <f ca="1">_xlfn.RANK.EQ(K5,$K$4:$K$8)</f>
        <v>1</v>
      </c>
      <c r="M5" s="29">
        <f t="shared" ref="M5:M8" ca="1" si="3">N5+O5</f>
        <v>0</v>
      </c>
      <c r="N5" s="131">
        <f t="array" aca="1" ref="N5" ca="1">SUM((games[sport]="k")*(games[played])*((games[th]=$B5)*(games[sh]&gt;games[sa])+(games[ta]=$B5)*(games[sa]&gt;games[sh])))</f>
        <v>0</v>
      </c>
      <c r="O5" s="131">
        <f t="array" aca="1" ref="O5" ca="1">SUM((games[sport]="k")*(games[played])*((games[th]=$B5)*(games[sh]&lt;games[sa])+(games[ta]=$B5)*(games[sa]&lt;games[sh])))</f>
        <v>0</v>
      </c>
      <c r="P5" s="131">
        <f ca="1">SUMIFS(games[sh],games[sport],"k",games[th],$B5)+SUMIFS(games[sa],games[sport],"k",games[ta],$B5)</f>
        <v>0</v>
      </c>
      <c r="Q5" s="131">
        <f ca="1">SUMIFS(games[sa],games[sport],"k",games[th],$B5)+SUMIFS(games[sh],games[sport],"k",games[ta],$B5)</f>
        <v>0</v>
      </c>
      <c r="R5" s="131">
        <f ca="1">P5-Q5</f>
        <v>0</v>
      </c>
      <c r="S5" s="132">
        <f t="shared" ref="S5:S8" ca="1" si="4">2*N5+1*O5</f>
        <v>0</v>
      </c>
      <c r="T5" s="30">
        <f ca="1">_xlfn.RANK.EQ(S5,$S$4:$S$8)</f>
        <v>1</v>
      </c>
      <c r="U5" s="35">
        <f t="shared" ref="U5:U8" ca="1" si="5">V5+W5</f>
        <v>0</v>
      </c>
      <c r="V5" s="133">
        <f t="array" aca="1" ref="V5" ca="1">SUM((games[sport]="v")*(games[played])*((games[th]=$B5)*(games[sh]&gt;games[sa])+(games[ta]=$B5)*(games[sa]&gt;games[sh])))</f>
        <v>0</v>
      </c>
      <c r="W5" s="133">
        <f t="array" aca="1" ref="W5" ca="1">SUM((games[sport]="v")*(games[played])*((games[th]=$B5)*(games[sh]&lt;games[sa])+(games[ta]=$B5)*(games[sa]&lt;games[sh])))</f>
        <v>0</v>
      </c>
      <c r="X5" s="133">
        <f ca="1">SUMIFS(games[sh],games[sport],"v",games[th],$B5)+SUMIFS(games[sa],games[sport],"v",games[ta],$B5)</f>
        <v>0</v>
      </c>
      <c r="Y5" s="133">
        <f ca="1">SUMIFS(games[sa],games[sport],"v",games[th],$B5)+SUMIFS(games[sh],games[sport],"v",games[ta],$B5)</f>
        <v>0</v>
      </c>
      <c r="Z5" s="133">
        <f ca="1">X5-Y5</f>
        <v>0</v>
      </c>
      <c r="AA5" s="134">
        <f ca="1">U5+W5+Z5</f>
        <v>0</v>
      </c>
      <c r="AB5" s="133">
        <f ca="1">_xlfn.RANK.EQ(AA5,$AA$4:$AA$8)</f>
        <v>1</v>
      </c>
      <c r="AC5" s="168">
        <f t="shared" ref="AC5:AC8" ca="1" si="6">AD5+AE5</f>
        <v>0</v>
      </c>
      <c r="AD5" s="169">
        <f t="array" aca="1" ref="AD5" ca="1">SUM((games[sport]="m")*(games[played])*((games[th]=$B5)*(games[sh]&gt;games[sa])+(games[ta]=$B5)*(games[sa]&gt;games[sh])))</f>
        <v>0</v>
      </c>
      <c r="AE5" s="169">
        <f t="array" aca="1" ref="AE5" ca="1">SUM((games[sport]="m")*(games[played])*((games[th]=$B5)*(games[sh]&lt;games[sa])+(games[ta]=$B5)*(games[sa]&lt;games[sh])))</f>
        <v>0</v>
      </c>
      <c r="AF5" s="169">
        <f ca="1">SUMIFS(games[sh],games[sport],"m",games[th],$B5)+SUMIFS(games[sa],games[sport],"m",games[ta],$B5)</f>
        <v>0</v>
      </c>
      <c r="AG5" s="169">
        <f ca="1">SUMIFS(games[sa],games[sport],"m",games[th],$B5)+SUMIFS(games[sh],games[sport],"m",games[ta],$B5)</f>
        <v>0</v>
      </c>
      <c r="AH5" s="169">
        <f t="shared" ref="AH5:AH8" ca="1" si="7">AF5-AG5</f>
        <v>0</v>
      </c>
      <c r="AI5" s="170">
        <f t="shared" ref="AI5:AI8" ca="1" si="8">2*AD5+1*AE5</f>
        <v>0</v>
      </c>
      <c r="AJ5" s="161">
        <v>2</v>
      </c>
      <c r="AK5" s="156">
        <f>INDEX(teams[name],MATCH(AJ5,teams[id],0))</f>
        <v>0</v>
      </c>
    </row>
    <row r="6" spans="2:37" x14ac:dyDescent="0.3">
      <c r="B6" s="38">
        <v>3</v>
      </c>
      <c r="C6" s="135">
        <f>INDEX(teams[name],MATCH(B6,teams[id],0))</f>
        <v>0</v>
      </c>
      <c r="D6" s="18">
        <f t="shared" ca="1" si="0"/>
        <v>0</v>
      </c>
      <c r="E6" s="136">
        <f t="array" aca="1" ref="E6" ca="1">SUM((games[sport]="p")*(games[played])*((games[th]=$B6)*(games[sh]&gt;games[sa])+(games[ta]=$B6)*(games[sa]&gt;games[sh])))</f>
        <v>0</v>
      </c>
      <c r="F6" s="136">
        <f t="array" aca="1" ref="F6" ca="1">SUM((games[sport]="p")*(games[played])*((games[th]=$B6)*(games[sh]=games[sa])+(games[ta]=$B6)*(games[sa]=games[sh])))</f>
        <v>0</v>
      </c>
      <c r="G6" s="136">
        <f t="array" aca="1" ref="G6" ca="1">SUM((games[sport]="p")*(games[played])*((games[th]=$B6)*(games[sh]&lt;games[sa])+(games[ta]=$B6)*(games[sa]&lt;games[sh])))</f>
        <v>0</v>
      </c>
      <c r="H6" s="136">
        <f ca="1">SUMIFS(games[sh],games[sport],"p",games[th],$B6)+SUMIFS(games[sa],games[sport],"p",games[ta],$B6)</f>
        <v>0</v>
      </c>
      <c r="I6" s="136">
        <f ca="1">SUMIFS(games[sa],games[sport],"p",games[th],$B6)+SUMIFS(games[sh],games[sport],"p",games[ta],$B6)</f>
        <v>0</v>
      </c>
      <c r="J6" s="136">
        <f t="shared" ca="1" si="1"/>
        <v>0</v>
      </c>
      <c r="K6" s="137">
        <f t="shared" ca="1" si="2"/>
        <v>0</v>
      </c>
      <c r="L6" s="19">
        <f ca="1">_xlfn.RANK.EQ(K6,$K$4:$K$8)</f>
        <v>1</v>
      </c>
      <c r="M6" s="23">
        <f t="shared" ca="1" si="3"/>
        <v>0</v>
      </c>
      <c r="N6" s="138">
        <f t="array" aca="1" ref="N6" ca="1">SUM((games[sport]="k")*(games[played])*((games[th]=$B6)*(games[sh]&gt;games[sa])+(games[ta]=$B6)*(games[sa]&gt;games[sh])))</f>
        <v>0</v>
      </c>
      <c r="O6" s="138">
        <f t="array" aca="1" ref="O6" ca="1">SUM((games[sport]="k")*(games[played])*((games[th]=$B6)*(games[sh]&lt;games[sa])+(games[ta]=$B6)*(games[sa]&lt;games[sh])))</f>
        <v>0</v>
      </c>
      <c r="P6" s="138">
        <f ca="1">SUMIFS(games[sh],games[sport],"k",games[th],$B6)+SUMIFS(games[sa],games[sport],"k",games[ta],$B6)</f>
        <v>0</v>
      </c>
      <c r="Q6" s="138">
        <f ca="1">SUMIFS(games[sa],games[sport],"k",games[th],$B6)+SUMIFS(games[sh],games[sport],"k",games[ta],$B6)</f>
        <v>0</v>
      </c>
      <c r="R6" s="138">
        <f ca="1">P6-Q6</f>
        <v>0</v>
      </c>
      <c r="S6" s="139">
        <f t="shared" ca="1" si="4"/>
        <v>0</v>
      </c>
      <c r="T6" s="24">
        <f ca="1">_xlfn.RANK.EQ(S6,$S$4:$S$8)</f>
        <v>1</v>
      </c>
      <c r="U6" s="34">
        <f t="shared" ca="1" si="5"/>
        <v>0</v>
      </c>
      <c r="V6" s="140">
        <f t="array" aca="1" ref="V6" ca="1">SUM((games[sport]="v")*(games[played])*((games[th]=$B6)*(games[sh]&gt;games[sa])+(games[ta]=$B6)*(games[sa]&gt;games[sh])))</f>
        <v>0</v>
      </c>
      <c r="W6" s="140">
        <f t="array" aca="1" ref="W6" ca="1">SUM((games[sport]="v")*(games[played])*((games[th]=$B6)*(games[sh]&lt;games[sa])+(games[ta]=$B6)*(games[sa]&lt;games[sh])))</f>
        <v>0</v>
      </c>
      <c r="X6" s="140">
        <f ca="1">SUMIFS(games[sh],games[sport],"v",games[th],$B6)+SUMIFS(games[sa],games[sport],"v",games[ta],$B6)</f>
        <v>0</v>
      </c>
      <c r="Y6" s="140">
        <f ca="1">SUMIFS(games[sa],games[sport],"v",games[th],$B6)+SUMIFS(games[sh],games[sport],"v",games[ta],$B6)</f>
        <v>0</v>
      </c>
      <c r="Z6" s="140">
        <f ca="1">X6-Y6</f>
        <v>0</v>
      </c>
      <c r="AA6" s="141">
        <f ca="1">U6+W6+Z6</f>
        <v>0</v>
      </c>
      <c r="AB6" s="140">
        <f ca="1">_xlfn.RANK.EQ(AA6,$AA$4:$AA$8)</f>
        <v>1</v>
      </c>
      <c r="AC6" s="171">
        <f t="shared" ca="1" si="6"/>
        <v>0</v>
      </c>
      <c r="AD6" s="172">
        <f t="array" aca="1" ref="AD6" ca="1">SUM((games[sport]="m")*(games[played])*((games[th]=$B6)*(games[sh]&gt;games[sa])+(games[ta]=$B6)*(games[sa]&gt;games[sh])))</f>
        <v>0</v>
      </c>
      <c r="AE6" s="172">
        <f t="array" aca="1" ref="AE6" ca="1">SUM((games[sport]="m")*(games[played])*((games[th]=$B6)*(games[sh]&lt;games[sa])+(games[ta]=$B6)*(games[sa]&lt;games[sh])))</f>
        <v>0</v>
      </c>
      <c r="AF6" s="172">
        <f ca="1">SUMIFS(games[sh],games[sport],"m",games[th],$B6)+SUMIFS(games[sa],games[sport],"m",games[ta],$B6)</f>
        <v>0</v>
      </c>
      <c r="AG6" s="172">
        <f ca="1">SUMIFS(games[sa],games[sport],"m",games[th],$B6)+SUMIFS(games[sh],games[sport],"m",games[ta],$B6)</f>
        <v>0</v>
      </c>
      <c r="AH6" s="172">
        <f t="shared" ca="1" si="7"/>
        <v>0</v>
      </c>
      <c r="AI6" s="173">
        <f t="shared" ca="1" si="8"/>
        <v>0</v>
      </c>
      <c r="AJ6" s="162">
        <v>3</v>
      </c>
      <c r="AK6" s="157">
        <f>INDEX(teams[name],MATCH(AJ6,teams[id],0))</f>
        <v>0</v>
      </c>
    </row>
    <row r="7" spans="2:37" x14ac:dyDescent="0.3">
      <c r="B7" s="37">
        <v>4</v>
      </c>
      <c r="C7" s="128">
        <f>INDEX(teams[name],MATCH(B7,teams[id],0))</f>
        <v>0</v>
      </c>
      <c r="D7" s="20">
        <f t="shared" ca="1" si="0"/>
        <v>0</v>
      </c>
      <c r="E7" s="129">
        <f t="array" aca="1" ref="E7" ca="1">SUM((games[sport]="p")*(games[played])*((games[th]=$B7)*(games[sh]&gt;games[sa])+(games[ta]=$B7)*(games[sa]&gt;games[sh])))</f>
        <v>0</v>
      </c>
      <c r="F7" s="129">
        <f t="array" aca="1" ref="F7" ca="1">SUM((games[sport]="p")*(games[played])*((games[th]=$B7)*(games[sh]=games[sa])+(games[ta]=$B7)*(games[sa]=games[sh])))</f>
        <v>0</v>
      </c>
      <c r="G7" s="129">
        <f t="array" aca="1" ref="G7" ca="1">SUM((games[sport]="p")*(games[played])*((games[th]=$B7)*(games[sh]&lt;games[sa])+(games[ta]=$B7)*(games[sa]&lt;games[sh])))</f>
        <v>0</v>
      </c>
      <c r="H7" s="129">
        <f ca="1">SUMIFS(games[sh],games[sport],"p",games[th],$B7)+SUMIFS(games[sa],games[sport],"p",games[ta],$B7)</f>
        <v>0</v>
      </c>
      <c r="I7" s="129">
        <f ca="1">SUMIFS(games[sa],games[sport],"p",games[th],$B7)+SUMIFS(games[sh],games[sport],"p",games[ta],$B7)</f>
        <v>0</v>
      </c>
      <c r="J7" s="129">
        <f t="shared" ca="1" si="1"/>
        <v>0</v>
      </c>
      <c r="K7" s="130">
        <f t="shared" ca="1" si="2"/>
        <v>0</v>
      </c>
      <c r="L7" s="21">
        <f ca="1">_xlfn.RANK.EQ(K7,$K$4:$K$8)</f>
        <v>1</v>
      </c>
      <c r="M7" s="131">
        <f t="shared" ca="1" si="3"/>
        <v>0</v>
      </c>
      <c r="N7" s="131">
        <f t="array" aca="1" ref="N7" ca="1">SUM((games[sport]="k")*(games[played])*((games[th]=$B7)*(games[sh]&gt;games[sa])+(games[ta]=$B7)*(games[sa]&gt;games[sh])))</f>
        <v>0</v>
      </c>
      <c r="O7" s="131">
        <f t="array" aca="1" ref="O7" ca="1">SUM((games[sport]="k")*(games[played])*((games[th]=$B7)*(games[sh]&lt;games[sa])+(games[ta]=$B7)*(games[sa]&lt;games[sh])))</f>
        <v>0</v>
      </c>
      <c r="P7" s="131">
        <f ca="1">SUMIFS(games[sh],games[sport],"k",games[th],$B7)+SUMIFS(games[sa],games[sport],"k",games[ta],$B7)</f>
        <v>0</v>
      </c>
      <c r="Q7" s="131">
        <f ca="1">SUMIFS(games[sa],games[sport],"k",games[th],$B7)+SUMIFS(games[sh],games[sport],"k",games[ta],$B7)</f>
        <v>0</v>
      </c>
      <c r="R7" s="131">
        <f ca="1">P7-Q7</f>
        <v>0</v>
      </c>
      <c r="S7" s="132">
        <f t="shared" ca="1" si="4"/>
        <v>0</v>
      </c>
      <c r="T7" s="30">
        <f ca="1">_xlfn.RANK.EQ(S7,$S$4:$S$8)</f>
        <v>1</v>
      </c>
      <c r="U7" s="35">
        <f t="shared" ca="1" si="5"/>
        <v>0</v>
      </c>
      <c r="V7" s="133">
        <f t="array" aca="1" ref="V7" ca="1">SUM((games[sport]="v")*(games[played])*((games[th]=$B7)*(games[sh]&gt;games[sa])+(games[ta]=$B7)*(games[sa]&gt;games[sh])))</f>
        <v>0</v>
      </c>
      <c r="W7" s="133">
        <f t="array" aca="1" ref="W7" ca="1">SUM((games[sport]="v")*(games[played])*((games[th]=$B7)*(games[sh]&lt;games[sa])+(games[ta]=$B7)*(games[sa]&lt;games[sh])))</f>
        <v>0</v>
      </c>
      <c r="X7" s="133">
        <f ca="1">SUMIFS(games[sh],games[sport],"v",games[th],$B7)+SUMIFS(games[sa],games[sport],"v",games[ta],$B7)</f>
        <v>0</v>
      </c>
      <c r="Y7" s="133">
        <f ca="1">SUMIFS(games[sa],games[sport],"v",games[th],$B7)+SUMIFS(games[sh],games[sport],"v",games[ta],$B7)</f>
        <v>0</v>
      </c>
      <c r="Z7" s="133">
        <f ca="1">X7-Y7</f>
        <v>0</v>
      </c>
      <c r="AA7" s="134">
        <f ca="1">U7+W7+Z7</f>
        <v>0</v>
      </c>
      <c r="AB7" s="133">
        <f ca="1">_xlfn.RANK.EQ(AA7,$AA$4:$AA$8)</f>
        <v>1</v>
      </c>
      <c r="AC7" s="168">
        <f t="shared" ca="1" si="6"/>
        <v>0</v>
      </c>
      <c r="AD7" s="169">
        <f t="array" aca="1" ref="AD7" ca="1">SUM((games[sport]="m")*(games[played])*((games[th]=$B7)*(games[sh]&gt;games[sa])+(games[ta]=$B7)*(games[sa]&gt;games[sh])))</f>
        <v>0</v>
      </c>
      <c r="AE7" s="169">
        <f t="array" aca="1" ref="AE7" ca="1">SUM((games[sport]="m")*(games[played])*((games[th]=$B7)*(games[sh]&lt;games[sa])+(games[ta]=$B7)*(games[sa]&lt;games[sh])))</f>
        <v>0</v>
      </c>
      <c r="AF7" s="169">
        <f ca="1">SUMIFS(games[sh],games[sport],"m",games[th],$B7)+SUMIFS(games[sa],games[sport],"m",games[ta],$B7)</f>
        <v>0</v>
      </c>
      <c r="AG7" s="169">
        <f ca="1">SUMIFS(games[sa],games[sport],"m",games[th],$B7)+SUMIFS(games[sh],games[sport],"m",games[ta],$B7)</f>
        <v>0</v>
      </c>
      <c r="AH7" s="169">
        <f t="shared" ca="1" si="7"/>
        <v>0</v>
      </c>
      <c r="AI7" s="170">
        <f t="shared" ca="1" si="8"/>
        <v>0</v>
      </c>
      <c r="AJ7" s="161">
        <v>4</v>
      </c>
      <c r="AK7" s="156">
        <f>INDEX(teams[name],MATCH(AJ7,teams[id],0))</f>
        <v>0</v>
      </c>
    </row>
    <row r="8" spans="2:37" ht="16.8" thickBot="1" x14ac:dyDescent="0.35">
      <c r="B8" s="38">
        <v>5</v>
      </c>
      <c r="C8" s="135">
        <f>INDEX(teams[name],MATCH(B8,teams[id],0))</f>
        <v>0</v>
      </c>
      <c r="D8" s="18">
        <f t="shared" ca="1" si="0"/>
        <v>0</v>
      </c>
      <c r="E8" s="136">
        <f t="array" aca="1" ref="E8" ca="1">SUM((games[sport]="p")*(games[played])*((games[th]=$B8)*(games[sh]&gt;games[sa])+(games[ta]=$B8)*(games[sa]&gt;games[sh])))</f>
        <v>0</v>
      </c>
      <c r="F8" s="136">
        <f t="array" aca="1" ref="F8" ca="1">SUM((games[sport]="p")*(games[played])*((games[th]=$B8)*(games[sh]=games[sa])+(games[ta]=$B8)*(games[sa]=games[sh])))</f>
        <v>0</v>
      </c>
      <c r="G8" s="136">
        <f t="array" aca="1" ref="G8" ca="1">SUM((games[sport]="p")*(games[played])*((games[th]=$B8)*(games[sh]&lt;games[sa])+(games[ta]=$B8)*(games[sa]&lt;games[sh])))</f>
        <v>0</v>
      </c>
      <c r="H8" s="136">
        <f ca="1">SUMIFS(games[sh],games[sport],"p",games[th],$B8)+SUMIFS(games[sa],games[sport],"p",games[ta],$B8)</f>
        <v>0</v>
      </c>
      <c r="I8" s="136">
        <f ca="1">SUMIFS(games[sa],games[sport],"p",games[th],$B8)+SUMIFS(games[sh],games[sport],"p",games[ta],$B8)</f>
        <v>0</v>
      </c>
      <c r="J8" s="136">
        <f t="shared" ca="1" si="1"/>
        <v>0</v>
      </c>
      <c r="K8" s="137">
        <f t="shared" ca="1" si="2"/>
        <v>0</v>
      </c>
      <c r="L8" s="19">
        <f ca="1">_xlfn.RANK.EQ(K8,$K$4:$K$8)</f>
        <v>1</v>
      </c>
      <c r="M8" s="119">
        <f t="shared" ca="1" si="3"/>
        <v>0</v>
      </c>
      <c r="N8" s="120">
        <f t="array" aca="1" ref="N8" ca="1">SUM((games[sport]="k")*(games[played])*((games[th]=$B8)*(games[sh]&gt;games[sa])+(games[ta]=$B8)*(games[sa]&gt;games[sh])))</f>
        <v>0</v>
      </c>
      <c r="O8" s="120">
        <f t="array" aca="1" ref="O8" ca="1">SUM((games[sport]="k")*(games[played])*((games[th]=$B8)*(games[sh]&lt;games[sa])+(games[ta]=$B8)*(games[sa]&lt;games[sh])))</f>
        <v>0</v>
      </c>
      <c r="P8" s="120">
        <f ca="1">SUMIFS(games[sh],games[sport],"k",games[th],$B8)+SUMIFS(games[sa],games[sport],"k",games[ta],$B8)</f>
        <v>0</v>
      </c>
      <c r="Q8" s="120">
        <f ca="1">SUMIFS(games[sa],games[sport],"k",games[th],$B8)+SUMIFS(games[sh],games[sport],"k",games[ta],$B8)</f>
        <v>0</v>
      </c>
      <c r="R8" s="120">
        <f ca="1">P8-Q8</f>
        <v>0</v>
      </c>
      <c r="S8" s="121">
        <f t="shared" ca="1" si="4"/>
        <v>0</v>
      </c>
      <c r="T8" s="122">
        <f ca="1">_xlfn.RANK.EQ(S8,$S$4:$S$8)</f>
        <v>1</v>
      </c>
      <c r="U8" s="123">
        <f t="shared" ca="1" si="5"/>
        <v>0</v>
      </c>
      <c r="V8" s="124">
        <f t="array" aca="1" ref="V8" ca="1">SUM((games[sport]="v")*(games[played])*((games[th]=$B8)*(games[sh]&gt;games[sa])+(games[ta]=$B8)*(games[sa]&gt;games[sh])))</f>
        <v>0</v>
      </c>
      <c r="W8" s="124">
        <f t="array" aca="1" ref="W8" ca="1">SUM((games[sport]="v")*(games[played])*((games[th]=$B8)*(games[sh]&lt;games[sa])+(games[ta]=$B8)*(games[sa]&lt;games[sh])))</f>
        <v>0</v>
      </c>
      <c r="X8" s="124">
        <f ca="1">SUMIFS(games[sh],games[sport],"v",games[th],$B8)+SUMIFS(games[sa],games[sport],"v",games[ta],$B8)</f>
        <v>0</v>
      </c>
      <c r="Y8" s="124">
        <f ca="1">SUMIFS(games[sa],games[sport],"v",games[th],$B8)+SUMIFS(games[sh],games[sport],"v",games[ta],$B8)</f>
        <v>0</v>
      </c>
      <c r="Z8" s="124">
        <f ca="1">X8-Y8</f>
        <v>0</v>
      </c>
      <c r="AA8" s="125">
        <f ca="1">U8+W8+Z8</f>
        <v>0</v>
      </c>
      <c r="AB8" s="124">
        <f ca="1">_xlfn.RANK.EQ(AA8,$AA$4:$AA$8)</f>
        <v>1</v>
      </c>
      <c r="AC8" s="174">
        <f t="shared" ca="1" si="6"/>
        <v>0</v>
      </c>
      <c r="AD8" s="148">
        <f t="array" aca="1" ref="AD8" ca="1">SUM((games[sport]="m")*(games[played])*((games[th]=$B8)*(games[sh]&gt;games[sa])+(games[ta]=$B8)*(games[sa]&gt;games[sh])))</f>
        <v>0</v>
      </c>
      <c r="AE8" s="148">
        <f t="array" aca="1" ref="AE8" ca="1">SUM((games[sport]="m")*(games[played])*((games[th]=$B8)*(games[sh]&lt;games[sa])+(games[ta]=$B8)*(games[sa]&lt;games[sh])))</f>
        <v>0</v>
      </c>
      <c r="AF8" s="148">
        <f ca="1">SUMIFS(games[sh],games[sport],"m",games[th],$B8)+SUMIFS(games[sa],games[sport],"m",games[ta],$B8)</f>
        <v>0</v>
      </c>
      <c r="AG8" s="148">
        <f ca="1">SUMIFS(games[sa],games[sport],"m",games[th],$B8)+SUMIFS(games[sh],games[sport],"m",games[ta],$B8)</f>
        <v>0</v>
      </c>
      <c r="AH8" s="148">
        <f t="shared" ca="1" si="7"/>
        <v>0</v>
      </c>
      <c r="AI8" s="175">
        <f t="shared" ca="1" si="8"/>
        <v>0</v>
      </c>
      <c r="AJ8" s="163">
        <v>5</v>
      </c>
      <c r="AK8" s="158">
        <f>INDEX(teams[name],MATCH(AJ8,teams[id],0))</f>
        <v>0</v>
      </c>
    </row>
    <row r="9" spans="2:37" ht="16.8" thickTop="1" x14ac:dyDescent="0.3">
      <c r="B9" s="214" t="s">
        <v>14</v>
      </c>
      <c r="C9" s="215"/>
      <c r="D9" s="6" t="s">
        <v>15</v>
      </c>
      <c r="E9" s="7" t="s">
        <v>16</v>
      </c>
      <c r="F9" s="7" t="s">
        <v>17</v>
      </c>
      <c r="G9" s="7" t="s">
        <v>18</v>
      </c>
      <c r="H9" s="7" t="s">
        <v>19</v>
      </c>
      <c r="I9" s="7" t="s">
        <v>20</v>
      </c>
      <c r="J9" s="7" t="s">
        <v>21</v>
      </c>
      <c r="K9" s="8" t="s">
        <v>22</v>
      </c>
      <c r="L9" s="9" t="s">
        <v>23</v>
      </c>
      <c r="M9" s="10" t="s">
        <v>15</v>
      </c>
      <c r="N9" s="11" t="s">
        <v>16</v>
      </c>
      <c r="O9" s="11" t="s">
        <v>18</v>
      </c>
      <c r="P9" s="11" t="s">
        <v>19</v>
      </c>
      <c r="Q9" s="11" t="s">
        <v>20</v>
      </c>
      <c r="R9" s="11" t="s">
        <v>21</v>
      </c>
      <c r="S9" s="12" t="s">
        <v>22</v>
      </c>
      <c r="T9" s="13" t="s">
        <v>23</v>
      </c>
      <c r="U9" s="3" t="s">
        <v>15</v>
      </c>
      <c r="V9" s="4" t="s">
        <v>16</v>
      </c>
      <c r="W9" s="4" t="s">
        <v>18</v>
      </c>
      <c r="X9" s="4" t="s">
        <v>19</v>
      </c>
      <c r="Y9" s="4" t="s">
        <v>20</v>
      </c>
      <c r="Z9" s="4" t="s">
        <v>21</v>
      </c>
      <c r="AA9" s="5" t="s">
        <v>22</v>
      </c>
      <c r="AB9" s="4" t="s">
        <v>23</v>
      </c>
      <c r="AC9" s="145" t="s">
        <v>15</v>
      </c>
      <c r="AD9" s="146" t="s">
        <v>16</v>
      </c>
      <c r="AE9" s="146" t="s">
        <v>18</v>
      </c>
      <c r="AF9" s="146" t="s">
        <v>19</v>
      </c>
      <c r="AG9" s="146" t="s">
        <v>20</v>
      </c>
      <c r="AH9" s="146" t="s">
        <v>21</v>
      </c>
      <c r="AI9" s="165" t="s">
        <v>22</v>
      </c>
      <c r="AJ9" s="201" t="s">
        <v>14</v>
      </c>
      <c r="AK9" s="202"/>
    </row>
    <row r="10" spans="2:37" x14ac:dyDescent="0.3">
      <c r="B10" s="38">
        <v>6</v>
      </c>
      <c r="C10" s="135">
        <f>INDEX(teams[name],MATCH(B10,teams[id],0))</f>
        <v>0</v>
      </c>
      <c r="D10" s="18">
        <f t="shared" ca="1" si="0"/>
        <v>0</v>
      </c>
      <c r="E10" s="136">
        <f t="array" aca="1" ref="E10" ca="1">SUM((games[sport]="p")*(games[played])*((games[th]=$B10)*(games[sh]&gt;games[sa])+(games[ta]=$B10)*(games[sa]&gt;games[sh])))</f>
        <v>0</v>
      </c>
      <c r="F10" s="136">
        <f t="array" aca="1" ref="F10" ca="1">SUM((games[sport]="p")*(games[played])*((games[th]=$B10)*(games[sh]=games[sa])+(games[ta]=$B10)*(games[sa]=games[sh])))</f>
        <v>0</v>
      </c>
      <c r="G10" s="136">
        <f t="array" aca="1" ref="G10" ca="1">SUM((games[sport]="p")*(games[played])*((games[th]=$B10)*(games[sh]&lt;games[sa])+(games[ta]=$B10)*(games[sa]&lt;games[sh])))</f>
        <v>0</v>
      </c>
      <c r="H10" s="136">
        <f ca="1">SUMIFS(games[sh],games[sport],"p",games[th],$B10)+SUMIFS(games[sa],games[sport],"p",games[ta],$B10)</f>
        <v>0</v>
      </c>
      <c r="I10" s="136">
        <f ca="1">SUMIFS(games[sa],games[sport],"p",games[th],$B10)+SUMIFS(games[sh],games[sport],"p",games[ta],$B10)</f>
        <v>0</v>
      </c>
      <c r="J10" s="136">
        <f t="shared" ca="1" si="1"/>
        <v>0</v>
      </c>
      <c r="K10" s="137">
        <f t="shared" ca="1" si="2"/>
        <v>0</v>
      </c>
      <c r="L10" s="19">
        <f ca="1">_xlfn.RANK.EQ(K10,$K$10:$K$14)</f>
        <v>1</v>
      </c>
      <c r="M10" s="138">
        <f ca="1">N10+O10</f>
        <v>0</v>
      </c>
      <c r="N10" s="138">
        <f t="array" aca="1" ref="N10" ca="1">SUM((games[sport]="k")*(games[played])*((games[th]=$B10)*(games[sh]&gt;games[sa])+(games[ta]=$B10)*(games[sa]&gt;games[sh])))</f>
        <v>0</v>
      </c>
      <c r="O10" s="138">
        <f t="array" aca="1" ref="O10" ca="1">SUM((games[sport]="k")*(games[played])*((games[th]=$B10)*(games[sh]&lt;games[sa])+(games[ta]=$B10)*(games[sa]&lt;games[sh])))</f>
        <v>0</v>
      </c>
      <c r="P10" s="138">
        <f ca="1">SUMIFS(games[sh],games[sport],"k",games[th],$B10)+SUMIFS(games[sa],games[sport],"k",games[ta],$B10)</f>
        <v>0</v>
      </c>
      <c r="Q10" s="138">
        <f ca="1">SUMIFS(games[sa],games[sport],"k",games[th],$B10)+SUMIFS(games[sh],games[sport],"k",games[ta],$B10)</f>
        <v>0</v>
      </c>
      <c r="R10" s="138">
        <f ca="1">P10-Q10</f>
        <v>0</v>
      </c>
      <c r="S10" s="139">
        <f ca="1">2*N10+1*O10</f>
        <v>0</v>
      </c>
      <c r="T10" s="24">
        <f ca="1">_xlfn.RANK.EQ(S10,$S$10:$S$14)</f>
        <v>1</v>
      </c>
      <c r="U10" s="140">
        <f ca="1">V10+W10</f>
        <v>0</v>
      </c>
      <c r="V10" s="140">
        <f t="array" aca="1" ref="V10" ca="1">SUM((games[sport]="v")*(games[played])*((games[th]=$B10)*(games[sh]&gt;games[sa])+(games[ta]=$B10)*(games[sa]&gt;games[sh])))</f>
        <v>0</v>
      </c>
      <c r="W10" s="140">
        <f t="array" aca="1" ref="W10" ca="1">SUM((games[sport]="v")*(games[played])*((games[th]=$B10)*(games[sh]&lt;games[sa])+(games[ta]=$B10)*(games[sa]&lt;games[sh])))</f>
        <v>0</v>
      </c>
      <c r="X10" s="140">
        <f ca="1">SUMIFS(games[sh],games[sport],"v",games[th],$B10)+SUMIFS(games[sa],games[sport],"v",games[ta],$B10)</f>
        <v>0</v>
      </c>
      <c r="Y10" s="140">
        <f ca="1">SUMIFS(games[sa],games[sport],"v",games[th],$B10)+SUMIFS(games[sh],games[sport],"v",games[ta],$B10)</f>
        <v>0</v>
      </c>
      <c r="Z10" s="140">
        <f ca="1">X10-Y10</f>
        <v>0</v>
      </c>
      <c r="AA10" s="141">
        <f ca="1">U10+W10+Z10</f>
        <v>0</v>
      </c>
      <c r="AB10" s="140">
        <f ca="1">_xlfn.RANK.EQ(AA10,$AA$10:$AA$14)</f>
        <v>1</v>
      </c>
      <c r="AC10" s="166">
        <f ca="1">AD10+AE10</f>
        <v>0</v>
      </c>
      <c r="AD10" s="147">
        <f t="array" aca="1" ref="AD10" ca="1">SUM((games[sport]="m")*(games[played])*((games[th]=$B10)*(games[sh]&gt;games[sa])+(games[ta]=$B10)*(games[sa]&gt;games[sh])))</f>
        <v>0</v>
      </c>
      <c r="AE10" s="147">
        <f t="array" aca="1" ref="AE10" ca="1">SUM((games[sport]="m")*(games[played])*((games[th]=$B10)*(games[sh]&lt;games[sa])+(games[ta]=$B10)*(games[sa]&lt;games[sh])))</f>
        <v>0</v>
      </c>
      <c r="AF10" s="147">
        <f ca="1">SUMIFS(games[sh],games[sport],"m",games[th],$B10)+SUMIFS(games[sa],games[sport],"m",games[ta],$B10)</f>
        <v>0</v>
      </c>
      <c r="AG10" s="147">
        <f ca="1">SUMIFS(games[sa],games[sport],"m",games[th],$B10)+SUMIFS(games[sh],games[sport],"m",games[ta],$B10)</f>
        <v>0</v>
      </c>
      <c r="AH10" s="147">
        <f ca="1">AF10-AG10</f>
        <v>0</v>
      </c>
      <c r="AI10" s="167">
        <f ca="1">2*AD10+1*AE10</f>
        <v>0</v>
      </c>
      <c r="AJ10" s="162">
        <v>6</v>
      </c>
      <c r="AK10" s="157">
        <f>INDEX(teams[name],MATCH(AJ10,teams[id],0))</f>
        <v>0</v>
      </c>
    </row>
    <row r="11" spans="2:37" x14ac:dyDescent="0.3">
      <c r="B11" s="37">
        <v>7</v>
      </c>
      <c r="C11" s="128">
        <f>INDEX(teams[name],MATCH(B11,teams[id],0))</f>
        <v>0</v>
      </c>
      <c r="D11" s="20">
        <f ca="1">E11+F11+G11</f>
        <v>0</v>
      </c>
      <c r="E11" s="129">
        <f t="array" aca="1" ref="E11" ca="1">SUM((games[sport]="p")*(games[played])*((games[th]=$B11)*(games[sh]&gt;games[sa])+(games[ta]=$B11)*(games[sa]&gt;games[sh])))</f>
        <v>0</v>
      </c>
      <c r="F11" s="129">
        <f t="array" aca="1" ref="F11" ca="1">SUM((games[sport]="p")*(games[played])*((games[th]=$B11)*(games[sh]=games[sa])+(games[ta]=$B11)*(games[sa]=games[sh])))</f>
        <v>0</v>
      </c>
      <c r="G11" s="129">
        <f t="array" aca="1" ref="G11" ca="1">SUM((games[sport]="p")*(games[played])*((games[th]=$B11)*(games[sh]&lt;games[sa])+(games[ta]=$B11)*(games[sa]&lt;games[sh])))</f>
        <v>0</v>
      </c>
      <c r="H11" s="129">
        <f ca="1">SUMIFS(games[sh],games[sport],"p",games[th],$B11)+SUMIFS(games[sa],games[sport],"p",games[ta],$B11)</f>
        <v>0</v>
      </c>
      <c r="I11" s="129">
        <f ca="1">SUMIFS(games[sa],games[sport],"p",games[th],$B11)+SUMIFS(games[sh],games[sport],"p",games[ta],$B11)</f>
        <v>0</v>
      </c>
      <c r="J11" s="129">
        <f ca="1">H11-I11</f>
        <v>0</v>
      </c>
      <c r="K11" s="130">
        <f ca="1">3*E11+1*F11+0*G11</f>
        <v>0</v>
      </c>
      <c r="L11" s="21">
        <f ca="1">_xlfn.RANK.EQ(K11,$K$10:$K$14)</f>
        <v>1</v>
      </c>
      <c r="M11" s="29">
        <f t="shared" ref="M11:M13" ca="1" si="9">N11+O11</f>
        <v>0</v>
      </c>
      <c r="N11" s="131">
        <f t="array" aca="1" ref="N11" ca="1">SUM((games[sport]="k")*(games[played])*((games[th]=$B11)*(games[sh]&gt;games[sa])+(games[ta]=$B11)*(games[sa]&gt;games[sh])))</f>
        <v>0</v>
      </c>
      <c r="O11" s="131">
        <f t="array" aca="1" ref="O11" ca="1">SUM((games[sport]="k")*(games[played])*((games[th]=$B11)*(games[sh]&lt;games[sa])+(games[ta]=$B11)*(games[sa]&lt;games[sh])))</f>
        <v>0</v>
      </c>
      <c r="P11" s="131">
        <f ca="1">SUMIFS(games[sh],games[sport],"k",games[th],$B11)+SUMIFS(games[sa],games[sport],"k",games[ta],$B11)</f>
        <v>0</v>
      </c>
      <c r="Q11" s="131">
        <f ca="1">SUMIFS(games[sa],games[sport],"k",games[th],$B11)+SUMIFS(games[sh],games[sport],"k",games[ta],$B11)</f>
        <v>0</v>
      </c>
      <c r="R11" s="131">
        <f ca="1">P11-Q11</f>
        <v>0</v>
      </c>
      <c r="S11" s="132">
        <f t="shared" ref="S11:S14" ca="1" si="10">2*N11+1*O11</f>
        <v>0</v>
      </c>
      <c r="T11" s="30">
        <f ca="1">_xlfn.RANK.EQ(S11,$S$10:$S$14)</f>
        <v>1</v>
      </c>
      <c r="U11" s="35">
        <f t="shared" ref="U11:U14" ca="1" si="11">V11+W11</f>
        <v>0</v>
      </c>
      <c r="V11" s="133">
        <f t="array" aca="1" ref="V11" ca="1">SUM((games[sport]="v")*(games[played])*((games[th]=$B11)*(games[sh]&gt;games[sa])+(games[ta]=$B11)*(games[sa]&gt;games[sh])))</f>
        <v>0</v>
      </c>
      <c r="W11" s="133">
        <f t="array" aca="1" ref="W11" ca="1">SUM((games[sport]="v")*(games[played])*((games[th]=$B11)*(games[sh]&lt;games[sa])+(games[ta]=$B11)*(games[sa]&lt;games[sh])))</f>
        <v>0</v>
      </c>
      <c r="X11" s="133">
        <f ca="1">SUMIFS(games[sh],games[sport],"v",games[th],$B11)+SUMIFS(games[sa],games[sport],"v",games[ta],$B11)</f>
        <v>0</v>
      </c>
      <c r="Y11" s="133">
        <f ca="1">SUMIFS(games[sa],games[sport],"v",games[th],$B11)+SUMIFS(games[sh],games[sport],"v",games[ta],$B11)</f>
        <v>0</v>
      </c>
      <c r="Z11" s="133">
        <f ca="1">X11-Y11</f>
        <v>0</v>
      </c>
      <c r="AA11" s="134">
        <f ca="1">U11+W11+Z11</f>
        <v>0</v>
      </c>
      <c r="AB11" s="133">
        <f ca="1">_xlfn.RANK.EQ(AA11,$AA$10:$AA$14)</f>
        <v>1</v>
      </c>
      <c r="AC11" s="168">
        <f t="shared" ref="AC11:AC14" ca="1" si="12">AD11+AE11</f>
        <v>0</v>
      </c>
      <c r="AD11" s="169">
        <f t="array" aca="1" ref="AD11" ca="1">SUM((games[sport]="m")*(games[played])*((games[th]=$B11)*(games[sh]&gt;games[sa])+(games[ta]=$B11)*(games[sa]&gt;games[sh])))</f>
        <v>0</v>
      </c>
      <c r="AE11" s="169">
        <f t="array" aca="1" ref="AE11" ca="1">SUM((games[sport]="m")*(games[played])*((games[th]=$B11)*(games[sh]&lt;games[sa])+(games[ta]=$B11)*(games[sa]&lt;games[sh])))</f>
        <v>0</v>
      </c>
      <c r="AF11" s="169">
        <f ca="1">SUMIFS(games[sh],games[sport],"m",games[th],$B11)+SUMIFS(games[sa],games[sport],"m",games[ta],$B11)</f>
        <v>0</v>
      </c>
      <c r="AG11" s="169">
        <f ca="1">SUMIFS(games[sa],games[sport],"m",games[th],$B11)+SUMIFS(games[sh],games[sport],"m",games[ta],$B11)</f>
        <v>0</v>
      </c>
      <c r="AH11" s="169">
        <f t="shared" ref="AH11:AH14" ca="1" si="13">AF11-AG11</f>
        <v>0</v>
      </c>
      <c r="AI11" s="170">
        <f t="shared" ref="AI11:AI14" ca="1" si="14">2*AD11+1*AE11</f>
        <v>0</v>
      </c>
      <c r="AJ11" s="161">
        <v>7</v>
      </c>
      <c r="AK11" s="156">
        <f>INDEX(teams[name],MATCH(AJ11,teams[id],0))</f>
        <v>0</v>
      </c>
    </row>
    <row r="12" spans="2:37" x14ac:dyDescent="0.3">
      <c r="B12" s="38">
        <v>8</v>
      </c>
      <c r="C12" s="135">
        <f>INDEX(teams[name],MATCH(B12,teams[id],0))</f>
        <v>0</v>
      </c>
      <c r="D12" s="18">
        <f ca="1">E12+F12+G12</f>
        <v>0</v>
      </c>
      <c r="E12" s="136">
        <f t="array" aca="1" ref="E12" ca="1">SUM((games[sport]="p")*(games[played])*((games[th]=$B12)*(games[sh]&gt;games[sa])+(games[ta]=$B12)*(games[sa]&gt;games[sh])))</f>
        <v>0</v>
      </c>
      <c r="F12" s="136">
        <f t="array" aca="1" ref="F12" ca="1">SUM((games[sport]="p")*(games[played])*((games[th]=$B12)*(games[sh]=games[sa])+(games[ta]=$B12)*(games[sa]=games[sh])))</f>
        <v>0</v>
      </c>
      <c r="G12" s="136">
        <f t="array" aca="1" ref="G12" ca="1">SUM((games[sport]="p")*(games[played])*((games[th]=$B12)*(games[sh]&lt;games[sa])+(games[ta]=$B12)*(games[sa]&lt;games[sh])))</f>
        <v>0</v>
      </c>
      <c r="H12" s="136">
        <f ca="1">SUMIFS(games[sh],games[sport],"p",games[th],$B12)+SUMIFS(games[sa],games[sport],"p",games[ta],$B12)</f>
        <v>0</v>
      </c>
      <c r="I12" s="136">
        <f ca="1">SUMIFS(games[sa],games[sport],"p",games[th],$B12)+SUMIFS(games[sh],games[sport],"p",games[ta],$B12)</f>
        <v>0</v>
      </c>
      <c r="J12" s="136">
        <f ca="1">H12-I12</f>
        <v>0</v>
      </c>
      <c r="K12" s="137">
        <f ca="1">3*E12+1*F12+0*G12</f>
        <v>0</v>
      </c>
      <c r="L12" s="19">
        <f ca="1">_xlfn.RANK.EQ(K12,$K$10:$K$14)</f>
        <v>1</v>
      </c>
      <c r="M12" s="23">
        <f t="shared" ca="1" si="9"/>
        <v>0</v>
      </c>
      <c r="N12" s="138">
        <f t="array" aca="1" ref="N12" ca="1">SUM((games[sport]="k")*(games[played])*((games[th]=$B12)*(games[sh]&gt;games[sa])+(games[ta]=$B12)*(games[sa]&gt;games[sh])))</f>
        <v>0</v>
      </c>
      <c r="O12" s="138">
        <f t="array" aca="1" ref="O12" ca="1">SUM((games[sport]="k")*(games[played])*((games[th]=$B12)*(games[sh]&lt;games[sa])+(games[ta]=$B12)*(games[sa]&lt;games[sh])))</f>
        <v>0</v>
      </c>
      <c r="P12" s="138">
        <f ca="1">SUMIFS(games[sh],games[sport],"k",games[th],$B12)+SUMIFS(games[sa],games[sport],"k",games[ta],$B12)</f>
        <v>0</v>
      </c>
      <c r="Q12" s="138">
        <f ca="1">SUMIFS(games[sa],games[sport],"k",games[th],$B12)+SUMIFS(games[sh],games[sport],"k",games[ta],$B12)</f>
        <v>0</v>
      </c>
      <c r="R12" s="138">
        <f ca="1">P12-Q12</f>
        <v>0</v>
      </c>
      <c r="S12" s="139">
        <f t="shared" ca="1" si="10"/>
        <v>0</v>
      </c>
      <c r="T12" s="24">
        <f ca="1">_xlfn.RANK.EQ(S12,$S$10:$S$14)</f>
        <v>1</v>
      </c>
      <c r="U12" s="34">
        <f t="shared" ca="1" si="11"/>
        <v>0</v>
      </c>
      <c r="V12" s="140">
        <f t="array" aca="1" ref="V12" ca="1">SUM((games[sport]="v")*(games[played])*((games[th]=$B12)*(games[sh]&gt;games[sa])+(games[ta]=$B12)*(games[sa]&gt;games[sh])))</f>
        <v>0</v>
      </c>
      <c r="W12" s="140">
        <f t="array" aca="1" ref="W12" ca="1">SUM((games[sport]="v")*(games[played])*((games[th]=$B12)*(games[sh]&lt;games[sa])+(games[ta]=$B12)*(games[sa]&lt;games[sh])))</f>
        <v>0</v>
      </c>
      <c r="X12" s="140">
        <f ca="1">SUMIFS(games[sh],games[sport],"v",games[th],$B12)+SUMIFS(games[sa],games[sport],"v",games[ta],$B12)</f>
        <v>0</v>
      </c>
      <c r="Y12" s="140">
        <f ca="1">SUMIFS(games[sa],games[sport],"v",games[th],$B12)+SUMIFS(games[sh],games[sport],"v",games[ta],$B12)</f>
        <v>0</v>
      </c>
      <c r="Z12" s="140">
        <f ca="1">X12-Y12</f>
        <v>0</v>
      </c>
      <c r="AA12" s="141">
        <f ca="1">U12+W12+Z12</f>
        <v>0</v>
      </c>
      <c r="AB12" s="140">
        <f ca="1">_xlfn.RANK.EQ(AA12,$AA$10:$AA$14)</f>
        <v>1</v>
      </c>
      <c r="AC12" s="171">
        <f t="shared" ca="1" si="12"/>
        <v>0</v>
      </c>
      <c r="AD12" s="172">
        <f t="array" aca="1" ref="AD12" ca="1">SUM((games[sport]="m")*(games[played])*((games[th]=$B12)*(games[sh]&gt;games[sa])+(games[ta]=$B12)*(games[sa]&gt;games[sh])))</f>
        <v>0</v>
      </c>
      <c r="AE12" s="172">
        <f t="array" aca="1" ref="AE12" ca="1">SUM((games[sport]="m")*(games[played])*((games[th]=$B12)*(games[sh]&lt;games[sa])+(games[ta]=$B12)*(games[sa]&lt;games[sh])))</f>
        <v>0</v>
      </c>
      <c r="AF12" s="172">
        <f ca="1">SUMIFS(games[sh],games[sport],"m",games[th],$B12)+SUMIFS(games[sa],games[sport],"m",games[ta],$B12)</f>
        <v>0</v>
      </c>
      <c r="AG12" s="172">
        <f ca="1">SUMIFS(games[sa],games[sport],"m",games[th],$B12)+SUMIFS(games[sh],games[sport],"m",games[ta],$B12)</f>
        <v>0</v>
      </c>
      <c r="AH12" s="172">
        <f t="shared" ca="1" si="13"/>
        <v>0</v>
      </c>
      <c r="AI12" s="173">
        <f t="shared" ca="1" si="14"/>
        <v>0</v>
      </c>
      <c r="AJ12" s="162">
        <v>8</v>
      </c>
      <c r="AK12" s="157">
        <f>INDEX(teams[name],MATCH(AJ12,teams[id],0))</f>
        <v>0</v>
      </c>
    </row>
    <row r="13" spans="2:37" x14ac:dyDescent="0.3">
      <c r="B13" s="37">
        <v>9</v>
      </c>
      <c r="C13" s="128">
        <f>INDEX(teams[name],MATCH(B13,teams[id],0))</f>
        <v>0</v>
      </c>
      <c r="D13" s="20">
        <f t="shared" ca="1" si="0"/>
        <v>0</v>
      </c>
      <c r="E13" s="129">
        <f t="array" aca="1" ref="E13" ca="1">SUM((games[sport]="p")*(games[played])*((games[th]=$B13)*(games[sh]&gt;games[sa])+(games[ta]=$B13)*(games[sa]&gt;games[sh])))</f>
        <v>0</v>
      </c>
      <c r="F13" s="129">
        <f t="array" aca="1" ref="F13" ca="1">SUM((games[sport]="p")*(games[played])*((games[th]=$B13)*(games[sh]=games[sa])+(games[ta]=$B13)*(games[sa]=games[sh])))</f>
        <v>0</v>
      </c>
      <c r="G13" s="129">
        <f t="array" aca="1" ref="G13" ca="1">SUM((games[sport]="p")*(games[played])*((games[th]=$B13)*(games[sh]&lt;games[sa])+(games[ta]=$B13)*(games[sa]&lt;games[sh])))</f>
        <v>0</v>
      </c>
      <c r="H13" s="129">
        <f ca="1">SUMIFS(games[sh],games[sport],"p",games[th],$B13)+SUMIFS(games[sa],games[sport],"p",games[ta],$B13)</f>
        <v>0</v>
      </c>
      <c r="I13" s="129">
        <f ca="1">SUMIFS(games[sa],games[sport],"p",games[th],$B13)+SUMIFS(games[sh],games[sport],"p",games[ta],$B13)</f>
        <v>0</v>
      </c>
      <c r="J13" s="129">
        <f t="shared" ca="1" si="1"/>
        <v>0</v>
      </c>
      <c r="K13" s="130">
        <f t="shared" ca="1" si="2"/>
        <v>0</v>
      </c>
      <c r="L13" s="21">
        <f ca="1">_xlfn.RANK.EQ(K13,$K$10:$K$14)</f>
        <v>1</v>
      </c>
      <c r="M13" s="29">
        <f t="shared" ca="1" si="9"/>
        <v>0</v>
      </c>
      <c r="N13" s="131">
        <f t="array" aca="1" ref="N13" ca="1">SUM((games[sport]="k")*(games[played])*((games[th]=$B13)*(games[sh]&gt;games[sa])+(games[ta]=$B13)*(games[sa]&gt;games[sh])))</f>
        <v>0</v>
      </c>
      <c r="O13" s="131">
        <f t="array" aca="1" ref="O13" ca="1">SUM((games[sport]="k")*(games[played])*((games[th]=$B13)*(games[sh]&lt;games[sa])+(games[ta]=$B13)*(games[sa]&lt;games[sh])))</f>
        <v>0</v>
      </c>
      <c r="P13" s="131">
        <f ca="1">SUMIFS(games[sh],games[sport],"k",games[th],$B13)+SUMIFS(games[sa],games[sport],"k",games[ta],$B13)</f>
        <v>0</v>
      </c>
      <c r="Q13" s="131">
        <f ca="1">SUMIFS(games[sa],games[sport],"k",games[th],$B13)+SUMIFS(games[sh],games[sport],"k",games[ta],$B13)</f>
        <v>0</v>
      </c>
      <c r="R13" s="131">
        <f ca="1">P13-Q13</f>
        <v>0</v>
      </c>
      <c r="S13" s="132">
        <f t="shared" ca="1" si="10"/>
        <v>0</v>
      </c>
      <c r="T13" s="30">
        <f ca="1">_xlfn.RANK.EQ(S13,$S$10:$S$14)</f>
        <v>1</v>
      </c>
      <c r="U13" s="35">
        <f t="shared" ca="1" si="11"/>
        <v>0</v>
      </c>
      <c r="V13" s="133">
        <f t="array" aca="1" ref="V13" ca="1">SUM((games[sport]="v")*(games[played])*((games[th]=$B13)*(games[sh]&gt;games[sa])+(games[ta]=$B13)*(games[sa]&gt;games[sh])))</f>
        <v>0</v>
      </c>
      <c r="W13" s="133">
        <f t="array" aca="1" ref="W13" ca="1">SUM((games[sport]="v")*(games[played])*((games[th]=$B13)*(games[sh]&lt;games[sa])+(games[ta]=$B13)*(games[sa]&lt;games[sh])))</f>
        <v>0</v>
      </c>
      <c r="X13" s="133">
        <f ca="1">SUMIFS(games[sh],games[sport],"v",games[th],$B13)+SUMIFS(games[sa],games[sport],"v",games[ta],$B13)</f>
        <v>0</v>
      </c>
      <c r="Y13" s="133">
        <f ca="1">SUMIFS(games[sa],games[sport],"v",games[th],$B13)+SUMIFS(games[sh],games[sport],"v",games[ta],$B13)</f>
        <v>0</v>
      </c>
      <c r="Z13" s="133">
        <f ca="1">X13-Y13</f>
        <v>0</v>
      </c>
      <c r="AA13" s="134">
        <f ca="1">U13+W13+Z13</f>
        <v>0</v>
      </c>
      <c r="AB13" s="133">
        <f ca="1">_xlfn.RANK.EQ(AA13,$AA$10:$AA$14)</f>
        <v>1</v>
      </c>
      <c r="AC13" s="168">
        <f t="shared" ca="1" si="12"/>
        <v>0</v>
      </c>
      <c r="AD13" s="169">
        <f t="array" aca="1" ref="AD13" ca="1">SUM((games[sport]="m")*(games[played])*((games[th]=$B13)*(games[sh]&gt;games[sa])+(games[ta]=$B13)*(games[sa]&gt;games[sh])))</f>
        <v>0</v>
      </c>
      <c r="AE13" s="169">
        <f t="array" aca="1" ref="AE13" ca="1">SUM((games[sport]="m")*(games[played])*((games[th]=$B13)*(games[sh]&lt;games[sa])+(games[ta]=$B13)*(games[sa]&lt;games[sh])))</f>
        <v>0</v>
      </c>
      <c r="AF13" s="169">
        <f ca="1">SUMIFS(games[sh],games[sport],"m",games[th],$B13)+SUMIFS(games[sa],games[sport],"m",games[ta],$B13)</f>
        <v>0</v>
      </c>
      <c r="AG13" s="169">
        <f ca="1">SUMIFS(games[sa],games[sport],"m",games[th],$B13)+SUMIFS(games[sh],games[sport],"m",games[ta],$B13)</f>
        <v>0</v>
      </c>
      <c r="AH13" s="169">
        <f t="shared" ca="1" si="13"/>
        <v>0</v>
      </c>
      <c r="AI13" s="170">
        <f t="shared" ca="1" si="14"/>
        <v>0</v>
      </c>
      <c r="AJ13" s="161">
        <v>9</v>
      </c>
      <c r="AK13" s="156">
        <f>INDEX(teams[name],MATCH(AJ13,teams[id],0))</f>
        <v>0</v>
      </c>
    </row>
    <row r="14" spans="2:37" ht="16.8" thickBot="1" x14ac:dyDescent="0.35">
      <c r="B14" s="106">
        <v>10</v>
      </c>
      <c r="C14" s="107">
        <f>INDEX(teams[name],MATCH(B14,teams[id],0))</f>
        <v>0</v>
      </c>
      <c r="D14" s="108">
        <f t="shared" ca="1" si="0"/>
        <v>0</v>
      </c>
      <c r="E14" s="109">
        <f t="array" aca="1" ref="E14" ca="1">SUM((games[sport]="p")*(games[played])*((games[th]=$B14)*(games[sh]&gt;games[sa])+(games[ta]=$B14)*(games[sa]&gt;games[sh])))</f>
        <v>0</v>
      </c>
      <c r="F14" s="109">
        <f t="array" aca="1" ref="F14" ca="1">SUM((games[sport]="p")*(games[played])*((games[th]=$B14)*(games[sh]=games[sa])+(games[ta]=$B14)*(games[sa]=games[sh])))</f>
        <v>0</v>
      </c>
      <c r="G14" s="109">
        <f t="array" aca="1" ref="G14" ca="1">SUM((games[sport]="p")*(games[played])*((games[th]=$B14)*(games[sh]&lt;games[sa])+(games[ta]=$B14)*(games[sa]&lt;games[sh])))</f>
        <v>0</v>
      </c>
      <c r="H14" s="109">
        <f ca="1">SUMIFS(games[sh],games[sport],"p",games[th],$B14)+SUMIFS(games[sa],games[sport],"p",games[ta],$B14)</f>
        <v>0</v>
      </c>
      <c r="I14" s="109">
        <f ca="1">SUMIFS(games[sa],games[sport],"p",games[th],$B14)+SUMIFS(games[sh],games[sport],"p",games[ta],$B14)</f>
        <v>0</v>
      </c>
      <c r="J14" s="109">
        <f t="shared" ca="1" si="1"/>
        <v>0</v>
      </c>
      <c r="K14" s="110">
        <f t="shared" ca="1" si="2"/>
        <v>0</v>
      </c>
      <c r="L14" s="111">
        <f ca="1">_xlfn.RANK.EQ(K14,$K$10:$K$14)</f>
        <v>1</v>
      </c>
      <c r="M14" s="112">
        <f ca="1">N14+O14</f>
        <v>0</v>
      </c>
      <c r="N14" s="113">
        <f t="array" aca="1" ref="N14" ca="1">SUM((games[sport]="k")*(games[played])*((games[th]=$B14)*(games[sh]&gt;games[sa])+(games[ta]=$B14)*(games[sa]&gt;games[sh])))</f>
        <v>0</v>
      </c>
      <c r="O14" s="113">
        <f t="array" aca="1" ref="O14" ca="1">SUM((games[sport]="k")*(games[played])*((games[th]=$B14)*(games[sh]&lt;games[sa])+(games[ta]=$B14)*(games[sa]&lt;games[sh])))</f>
        <v>0</v>
      </c>
      <c r="P14" s="113">
        <f ca="1">SUMIFS(games[sh],games[sport],"k",games[th],$B14)+SUMIFS(games[sa],games[sport],"k",games[ta],$B14)</f>
        <v>0</v>
      </c>
      <c r="Q14" s="113">
        <f ca="1">SUMIFS(games[sa],games[sport],"k",games[th],$B14)+SUMIFS(games[sh],games[sport],"k",games[ta],$B14)</f>
        <v>0</v>
      </c>
      <c r="R14" s="113">
        <f ca="1">P14-Q14</f>
        <v>0</v>
      </c>
      <c r="S14" s="114">
        <f t="shared" ca="1" si="10"/>
        <v>0</v>
      </c>
      <c r="T14" s="115">
        <f ca="1">_xlfn.RANK.EQ(S14,$S$10:$S$14)</f>
        <v>1</v>
      </c>
      <c r="U14" s="116">
        <f t="shared" ca="1" si="11"/>
        <v>0</v>
      </c>
      <c r="V14" s="117">
        <f t="array" aca="1" ref="V14" ca="1">SUM((games[sport]="v")*(games[played])*((games[th]=$B14)*(games[sh]&gt;games[sa])+(games[ta]=$B14)*(games[sa]&gt;games[sh])))</f>
        <v>0</v>
      </c>
      <c r="W14" s="117">
        <f t="array" aca="1" ref="W14" ca="1">SUM((games[sport]="v")*(games[played])*((games[th]=$B14)*(games[sh]&lt;games[sa])+(games[ta]=$B14)*(games[sa]&lt;games[sh])))</f>
        <v>0</v>
      </c>
      <c r="X14" s="117">
        <f ca="1">SUMIFS(games[sh],games[sport],"v",games[th],$B14)+SUMIFS(games[sa],games[sport],"v",games[ta],$B14)</f>
        <v>0</v>
      </c>
      <c r="Y14" s="117">
        <f ca="1">SUMIFS(games[sa],games[sport],"v",games[th],$B14)+SUMIFS(games[sh],games[sport],"v",games[ta],$B14)</f>
        <v>0</v>
      </c>
      <c r="Z14" s="117">
        <f ca="1">X14-Y14</f>
        <v>0</v>
      </c>
      <c r="AA14" s="118">
        <f ca="1">U14+W14+Z14</f>
        <v>0</v>
      </c>
      <c r="AB14" s="117">
        <f ca="1">_xlfn.RANK.EQ(AA14,$AA$10:$AA$14)</f>
        <v>1</v>
      </c>
      <c r="AC14" s="176">
        <f t="shared" ca="1" si="12"/>
        <v>0</v>
      </c>
      <c r="AD14" s="149">
        <f t="array" aca="1" ref="AD14" ca="1">SUM((games[sport]="m")*(games[played])*((games[th]=$B14)*(games[sh]&gt;games[sa])+(games[ta]=$B14)*(games[sa]&gt;games[sh])))</f>
        <v>0</v>
      </c>
      <c r="AE14" s="149">
        <f t="array" aca="1" ref="AE14" ca="1">SUM((games[sport]="m")*(games[played])*((games[th]=$B14)*(games[sh]&lt;games[sa])+(games[ta]=$B14)*(games[sa]&lt;games[sh])))</f>
        <v>0</v>
      </c>
      <c r="AF14" s="149">
        <f ca="1">SUMIFS(games[sh],games[sport],"m",games[th],$B14)+SUMIFS(games[sa],games[sport],"m",games[ta],$B14)</f>
        <v>0</v>
      </c>
      <c r="AG14" s="149">
        <f ca="1">SUMIFS(games[sa],games[sport],"m",games[th],$B14)+SUMIFS(games[sh],games[sport],"m",games[ta],$B14)</f>
        <v>0</v>
      </c>
      <c r="AH14" s="149">
        <f t="shared" ca="1" si="13"/>
        <v>0</v>
      </c>
      <c r="AI14" s="177">
        <f t="shared" ca="1" si="14"/>
        <v>0</v>
      </c>
      <c r="AJ14" s="164">
        <v>10</v>
      </c>
      <c r="AK14" s="159">
        <f>INDEX(teams[name],MATCH(AJ14,teams[id],0))</f>
        <v>0</v>
      </c>
    </row>
    <row r="15" spans="2:37" ht="16.8" thickBot="1" x14ac:dyDescent="0.35"/>
    <row r="16" spans="2:37" ht="16.8" thickBot="1" x14ac:dyDescent="0.35">
      <c r="D16" s="230" t="s">
        <v>71</v>
      </c>
      <c r="E16" s="231"/>
      <c r="F16" s="231"/>
      <c r="G16" s="231"/>
      <c r="H16" s="231"/>
      <c r="I16" s="231"/>
      <c r="J16" s="232"/>
      <c r="K16" s="150"/>
      <c r="L16" s="150"/>
    </row>
    <row r="17" spans="4:10" ht="16.8" thickTop="1" x14ac:dyDescent="0.3">
      <c r="D17" s="238" t="s">
        <v>72</v>
      </c>
      <c r="E17" s="239"/>
      <c r="F17" s="240"/>
      <c r="G17" s="241" t="s">
        <v>73</v>
      </c>
      <c r="H17" s="239"/>
      <c r="I17" s="239"/>
      <c r="J17" s="242"/>
    </row>
    <row r="18" spans="4:10" x14ac:dyDescent="0.3">
      <c r="D18" s="235" t="s">
        <v>15</v>
      </c>
      <c r="E18" s="236"/>
      <c r="F18" s="237"/>
      <c r="G18" s="243" t="s">
        <v>83</v>
      </c>
      <c r="H18" s="236"/>
      <c r="I18" s="236"/>
      <c r="J18" s="244"/>
    </row>
    <row r="19" spans="4:10" x14ac:dyDescent="0.3">
      <c r="D19" s="225" t="s">
        <v>16</v>
      </c>
      <c r="E19" s="209"/>
      <c r="F19" s="226"/>
      <c r="G19" s="208" t="s">
        <v>74</v>
      </c>
      <c r="H19" s="209"/>
      <c r="I19" s="209"/>
      <c r="J19" s="210"/>
    </row>
    <row r="20" spans="4:10" x14ac:dyDescent="0.3">
      <c r="D20" s="203" t="s">
        <v>17</v>
      </c>
      <c r="E20" s="204"/>
      <c r="F20" s="205"/>
      <c r="G20" s="206" t="s">
        <v>75</v>
      </c>
      <c r="H20" s="204"/>
      <c r="I20" s="204"/>
      <c r="J20" s="207"/>
    </row>
    <row r="21" spans="4:10" x14ac:dyDescent="0.3">
      <c r="D21" s="225" t="s">
        <v>18</v>
      </c>
      <c r="E21" s="209"/>
      <c r="F21" s="226"/>
      <c r="G21" s="208" t="s">
        <v>76</v>
      </c>
      <c r="H21" s="209"/>
      <c r="I21" s="209"/>
      <c r="J21" s="210"/>
    </row>
    <row r="22" spans="4:10" x14ac:dyDescent="0.3">
      <c r="D22" s="203" t="s">
        <v>19</v>
      </c>
      <c r="E22" s="204"/>
      <c r="F22" s="205"/>
      <c r="G22" s="206" t="s">
        <v>77</v>
      </c>
      <c r="H22" s="204"/>
      <c r="I22" s="204"/>
      <c r="J22" s="207"/>
    </row>
    <row r="23" spans="4:10" x14ac:dyDescent="0.3">
      <c r="D23" s="225" t="s">
        <v>20</v>
      </c>
      <c r="E23" s="209"/>
      <c r="F23" s="226"/>
      <c r="G23" s="208" t="s">
        <v>78</v>
      </c>
      <c r="H23" s="209"/>
      <c r="I23" s="209"/>
      <c r="J23" s="210"/>
    </row>
    <row r="24" spans="4:10" x14ac:dyDescent="0.3">
      <c r="D24" s="203" t="s">
        <v>21</v>
      </c>
      <c r="E24" s="204"/>
      <c r="F24" s="205"/>
      <c r="G24" s="206" t="s">
        <v>79</v>
      </c>
      <c r="H24" s="204"/>
      <c r="I24" s="204"/>
      <c r="J24" s="207"/>
    </row>
    <row r="25" spans="4:10" x14ac:dyDescent="0.3">
      <c r="D25" s="225" t="s">
        <v>22</v>
      </c>
      <c r="E25" s="209"/>
      <c r="F25" s="226"/>
      <c r="G25" s="208" t="s">
        <v>80</v>
      </c>
      <c r="H25" s="209"/>
      <c r="I25" s="209"/>
      <c r="J25" s="210"/>
    </row>
    <row r="26" spans="4:10" x14ac:dyDescent="0.3">
      <c r="D26" s="203" t="s">
        <v>23</v>
      </c>
      <c r="E26" s="204"/>
      <c r="F26" s="205"/>
      <c r="G26" s="206" t="s">
        <v>81</v>
      </c>
      <c r="H26" s="204"/>
      <c r="I26" s="204"/>
      <c r="J26" s="207"/>
    </row>
    <row r="27" spans="4:10" x14ac:dyDescent="0.3">
      <c r="D27" s="225" t="s">
        <v>70</v>
      </c>
      <c r="E27" s="209"/>
      <c r="F27" s="226"/>
      <c r="G27" s="208" t="s">
        <v>82</v>
      </c>
      <c r="H27" s="209"/>
      <c r="I27" s="209"/>
      <c r="J27" s="210"/>
    </row>
    <row r="28" spans="4:10" x14ac:dyDescent="0.3">
      <c r="D28" s="203" t="s">
        <v>27</v>
      </c>
      <c r="E28" s="204"/>
      <c r="F28" s="205"/>
      <c r="G28" s="206" t="s">
        <v>84</v>
      </c>
      <c r="H28" s="204"/>
      <c r="I28" s="204"/>
      <c r="J28" s="207"/>
    </row>
    <row r="29" spans="4:10" x14ac:dyDescent="0.3">
      <c r="D29" s="152"/>
      <c r="E29" s="151" t="s">
        <v>28</v>
      </c>
      <c r="F29" s="153"/>
      <c r="G29" s="208" t="s">
        <v>85</v>
      </c>
      <c r="H29" s="209"/>
      <c r="I29" s="209"/>
      <c r="J29" s="210"/>
    </row>
    <row r="30" spans="4:10" x14ac:dyDescent="0.3">
      <c r="D30" s="203" t="s">
        <v>29</v>
      </c>
      <c r="E30" s="204"/>
      <c r="F30" s="205"/>
      <c r="G30" s="206" t="s">
        <v>86</v>
      </c>
      <c r="H30" s="204"/>
      <c r="I30" s="204"/>
      <c r="J30" s="207"/>
    </row>
    <row r="31" spans="4:10" ht="16.8" thickBot="1" x14ac:dyDescent="0.35">
      <c r="D31" s="233" t="s">
        <v>30</v>
      </c>
      <c r="E31" s="228"/>
      <c r="F31" s="234"/>
      <c r="G31" s="227" t="s">
        <v>87</v>
      </c>
      <c r="H31" s="228"/>
      <c r="I31" s="228"/>
      <c r="J31" s="229"/>
    </row>
    <row r="32" spans="4:10" x14ac:dyDescent="0.3">
      <c r="D32" s="150"/>
      <c r="E32" s="150"/>
      <c r="F32" s="150"/>
    </row>
    <row r="33" spans="4:6" x14ac:dyDescent="0.3">
      <c r="D33" s="150"/>
      <c r="E33" s="150"/>
      <c r="F33" s="150"/>
    </row>
  </sheetData>
  <mergeCells count="40">
    <mergeCell ref="G31:J31"/>
    <mergeCell ref="D16:J16"/>
    <mergeCell ref="D31:F31"/>
    <mergeCell ref="D30:F30"/>
    <mergeCell ref="D25:F25"/>
    <mergeCell ref="D24:F24"/>
    <mergeCell ref="D23:F23"/>
    <mergeCell ref="D22:F22"/>
    <mergeCell ref="D21:F21"/>
    <mergeCell ref="D20:F20"/>
    <mergeCell ref="D19:F19"/>
    <mergeCell ref="D18:F18"/>
    <mergeCell ref="D17:F17"/>
    <mergeCell ref="G17:J17"/>
    <mergeCell ref="G18:J18"/>
    <mergeCell ref="G19:J19"/>
    <mergeCell ref="B9:C9"/>
    <mergeCell ref="U2:AB2"/>
    <mergeCell ref="B2:C2"/>
    <mergeCell ref="B3:C3"/>
    <mergeCell ref="D2:L2"/>
    <mergeCell ref="M2:T2"/>
    <mergeCell ref="D28:F28"/>
    <mergeCell ref="G28:J28"/>
    <mergeCell ref="G29:J29"/>
    <mergeCell ref="G25:J25"/>
    <mergeCell ref="G30:J30"/>
    <mergeCell ref="D27:F27"/>
    <mergeCell ref="G27:J27"/>
    <mergeCell ref="AJ2:AK2"/>
    <mergeCell ref="AJ3:AK3"/>
    <mergeCell ref="AJ9:AK9"/>
    <mergeCell ref="D26:F26"/>
    <mergeCell ref="G26:J26"/>
    <mergeCell ref="AC2:AI2"/>
    <mergeCell ref="G20:J20"/>
    <mergeCell ref="G21:J21"/>
    <mergeCell ref="G22:J22"/>
    <mergeCell ref="G23:J23"/>
    <mergeCell ref="G24:J24"/>
  </mergeCells>
  <conditionalFormatting sqref="AI4:AI8 AI10:AI14">
    <cfRule type="containsText" dxfId="1" priority="1" operator="containsText" text="❌">
      <formula>NOT(ISERROR(SEARCH("❌",AI4)))</formula>
    </cfRule>
    <cfRule type="containsText" dxfId="0" priority="2" operator="containsText" text="✅">
      <formula>NOT(ISERROR(SEARCH("✅",AI4)))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plan</vt:lpstr>
      <vt:lpstr>teams</vt:lpstr>
      <vt:lpstr>fields</vt:lpstr>
      <vt:lpstr>games</vt:lpstr>
      <vt:lpstr>pages</vt:lpstr>
      <vt:lpstr>points</vt:lpstr>
      <vt:lpstr>pages!Print_Area</vt:lpstr>
      <vt:lpstr>plan!Print_Area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constracti</dc:creator>
  <cp:lastModifiedBy>Christos Filippidis</cp:lastModifiedBy>
  <cp:lastPrinted>2025-08-16T08:22:24Z</cp:lastPrinted>
  <dcterms:created xsi:type="dcterms:W3CDTF">2016-08-12T09:09:09Z</dcterms:created>
  <dcterms:modified xsi:type="dcterms:W3CDTF">2026-08-05T11:07:10Z</dcterms:modified>
</cp:coreProperties>
</file>